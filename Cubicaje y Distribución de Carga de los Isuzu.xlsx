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ALVAREZ\Documents\Ejemplo de Trabajos\"/>
    </mc:Choice>
  </mc:AlternateContent>
  <xr:revisionPtr revIDLastSave="0" documentId="13_ncr:1_{1D5BCB0B-7B43-4441-A98C-BD32E8BAB9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bicaje y Peso" sheetId="1" r:id="rId1"/>
    <sheet name="Distribución de Carga" sheetId="2" r:id="rId2"/>
    <sheet name="Distancia y Consumo" sheetId="3" r:id="rId3"/>
    <sheet name="Hoja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5" i="1" l="1"/>
  <c r="AD4" i="1"/>
  <c r="AE4" i="1" s="1"/>
  <c r="F7" i="4"/>
  <c r="H7" i="4" s="1"/>
  <c r="F8" i="4"/>
  <c r="H8" i="4" s="1"/>
  <c r="F9" i="4"/>
  <c r="H9" i="4" s="1"/>
  <c r="F10" i="4"/>
  <c r="H10" i="4" s="1"/>
  <c r="F11" i="4"/>
  <c r="H11" i="4" s="1"/>
  <c r="F12" i="4"/>
  <c r="H12" i="4" s="1"/>
  <c r="F13" i="4"/>
  <c r="H13" i="4" s="1"/>
  <c r="F14" i="4"/>
  <c r="H14" i="4" s="1"/>
  <c r="F15" i="4"/>
  <c r="H15" i="4" s="1"/>
  <c r="F16" i="4"/>
  <c r="H16" i="4" s="1"/>
  <c r="F17" i="4"/>
  <c r="H17" i="4" s="1"/>
  <c r="F18" i="4"/>
  <c r="H18" i="4" s="1"/>
  <c r="F19" i="4"/>
  <c r="H19" i="4" s="1"/>
  <c r="F20" i="4"/>
  <c r="H20" i="4" s="1"/>
  <c r="F21" i="4"/>
  <c r="H21" i="4" s="1"/>
  <c r="F22" i="4"/>
  <c r="H22" i="4" s="1"/>
  <c r="F23" i="4"/>
  <c r="H23" i="4" s="1"/>
  <c r="F24" i="4"/>
  <c r="H24" i="4" s="1"/>
  <c r="F25" i="4"/>
  <c r="H25" i="4" s="1"/>
  <c r="F26" i="4"/>
  <c r="H26" i="4" s="1"/>
  <c r="F27" i="4"/>
  <c r="H27" i="4" s="1"/>
  <c r="F28" i="4"/>
  <c r="H28" i="4" s="1"/>
  <c r="F29" i="4"/>
  <c r="H29" i="4" s="1"/>
  <c r="F30" i="4"/>
  <c r="H30" i="4" s="1"/>
  <c r="F31" i="4"/>
  <c r="H31" i="4" s="1"/>
  <c r="F32" i="4"/>
  <c r="H32" i="4" s="1"/>
  <c r="F33" i="4"/>
  <c r="H33" i="4" s="1"/>
  <c r="F34" i="4"/>
  <c r="H34" i="4" s="1"/>
  <c r="F35" i="4"/>
  <c r="H35" i="4" s="1"/>
  <c r="F36" i="4"/>
  <c r="H36" i="4" s="1"/>
  <c r="F37" i="4"/>
  <c r="H37" i="4" s="1"/>
  <c r="F38" i="4"/>
  <c r="H38" i="4" s="1"/>
  <c r="F39" i="4"/>
  <c r="H39" i="4" s="1"/>
  <c r="F40" i="4"/>
  <c r="H40" i="4" s="1"/>
  <c r="F41" i="4"/>
  <c r="H41" i="4" s="1"/>
  <c r="F42" i="4"/>
  <c r="H42" i="4" s="1"/>
  <c r="F43" i="4"/>
  <c r="H43" i="4" s="1"/>
  <c r="F44" i="4"/>
  <c r="H44" i="4" s="1"/>
  <c r="F45" i="4"/>
  <c r="H45" i="4" s="1"/>
  <c r="F6" i="4"/>
  <c r="H6" i="4" s="1"/>
  <c r="F5" i="4"/>
  <c r="H5" i="4" s="1"/>
  <c r="F4" i="4"/>
  <c r="H4" i="4" s="1"/>
  <c r="F3" i="4"/>
  <c r="H3" i="4" s="1"/>
  <c r="K3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P23" i="3"/>
  <c r="P22" i="3"/>
  <c r="P21" i="3"/>
  <c r="P19" i="3"/>
  <c r="P17" i="3"/>
  <c r="P16" i="3"/>
  <c r="P15" i="3"/>
  <c r="P14" i="3"/>
  <c r="P13" i="3"/>
  <c r="P12" i="3"/>
  <c r="P10" i="3"/>
  <c r="P9" i="3"/>
  <c r="P8" i="3"/>
  <c r="P7" i="3"/>
  <c r="P6" i="3"/>
  <c r="O23" i="3"/>
  <c r="O22" i="3"/>
  <c r="O21" i="3"/>
  <c r="O20" i="3"/>
  <c r="O19" i="3"/>
  <c r="O17" i="3"/>
  <c r="O16" i="3"/>
  <c r="O15" i="3"/>
  <c r="O14" i="3"/>
  <c r="O13" i="3"/>
  <c r="O12" i="3"/>
  <c r="O11" i="3"/>
  <c r="O10" i="3"/>
  <c r="O9" i="3"/>
  <c r="O7" i="3"/>
  <c r="O6" i="3"/>
  <c r="O5" i="3"/>
  <c r="M23" i="3"/>
  <c r="L23" i="3"/>
  <c r="L21" i="3"/>
  <c r="L20" i="3"/>
  <c r="L19" i="3"/>
  <c r="M21" i="3"/>
  <c r="N21" i="3" s="1"/>
  <c r="M19" i="3"/>
  <c r="K23" i="3"/>
  <c r="K22" i="3"/>
  <c r="N22" i="3" s="1"/>
  <c r="K21" i="3"/>
  <c r="K20" i="3"/>
  <c r="N20" i="3" s="1"/>
  <c r="K19" i="3"/>
  <c r="J23" i="3"/>
  <c r="J22" i="3"/>
  <c r="J21" i="3"/>
  <c r="J20" i="3"/>
  <c r="J19" i="3"/>
  <c r="L17" i="3"/>
  <c r="L16" i="3"/>
  <c r="L15" i="3"/>
  <c r="L14" i="3"/>
  <c r="L13" i="3"/>
  <c r="L12" i="3"/>
  <c r="L11" i="3"/>
  <c r="L10" i="3"/>
  <c r="L9" i="3"/>
  <c r="K17" i="3"/>
  <c r="N17" i="3" s="1"/>
  <c r="K16" i="3"/>
  <c r="N16" i="3" s="1"/>
  <c r="K15" i="3"/>
  <c r="K14" i="3"/>
  <c r="N14" i="3" s="1"/>
  <c r="K13" i="3"/>
  <c r="K12" i="3"/>
  <c r="K11" i="3"/>
  <c r="K10" i="3"/>
  <c r="K9" i="3"/>
  <c r="N9" i="3" s="1"/>
  <c r="J17" i="3"/>
  <c r="J16" i="3"/>
  <c r="J15" i="3"/>
  <c r="J14" i="3"/>
  <c r="J13" i="3"/>
  <c r="J12" i="3"/>
  <c r="J11" i="3"/>
  <c r="J10" i="3"/>
  <c r="J9" i="3"/>
  <c r="M17" i="3"/>
  <c r="M16" i="3"/>
  <c r="M15" i="3"/>
  <c r="M14" i="3"/>
  <c r="M13" i="3"/>
  <c r="M12" i="3"/>
  <c r="M10" i="3"/>
  <c r="N10" i="3" s="1"/>
  <c r="M9" i="3"/>
  <c r="L7" i="3"/>
  <c r="L6" i="3"/>
  <c r="L5" i="3"/>
  <c r="M7" i="3"/>
  <c r="M6" i="3"/>
  <c r="N18" i="3"/>
  <c r="N8" i="3"/>
  <c r="N4" i="3"/>
  <c r="K7" i="3"/>
  <c r="K6" i="3"/>
  <c r="K5" i="3"/>
  <c r="N5" i="3" s="1"/>
  <c r="J7" i="3"/>
  <c r="J6" i="3"/>
  <c r="J5" i="3"/>
  <c r="D23" i="3"/>
  <c r="E23" i="3"/>
  <c r="H23" i="3" s="1"/>
  <c r="F23" i="3"/>
  <c r="I23" i="3" s="1"/>
  <c r="F21" i="3"/>
  <c r="I21" i="3" s="1"/>
  <c r="E21" i="3"/>
  <c r="H21" i="3" s="1"/>
  <c r="D21" i="3"/>
  <c r="F19" i="3"/>
  <c r="I19" i="3" s="1"/>
  <c r="E19" i="3"/>
  <c r="H19" i="3" s="1"/>
  <c r="D19" i="3"/>
  <c r="F17" i="3"/>
  <c r="I17" i="3" s="1"/>
  <c r="F16" i="3"/>
  <c r="I16" i="3" s="1"/>
  <c r="E17" i="3"/>
  <c r="H17" i="3" s="1"/>
  <c r="E16" i="3"/>
  <c r="H16" i="3" s="1"/>
  <c r="D17" i="3"/>
  <c r="D16" i="3"/>
  <c r="D14" i="3"/>
  <c r="D13" i="3"/>
  <c r="D12" i="3"/>
  <c r="E14" i="3"/>
  <c r="E13" i="3"/>
  <c r="E12" i="3"/>
  <c r="F14" i="3"/>
  <c r="I14" i="3" s="1"/>
  <c r="F13" i="3"/>
  <c r="I13" i="3" s="1"/>
  <c r="F12" i="3"/>
  <c r="I12" i="3"/>
  <c r="H12" i="3"/>
  <c r="F10" i="3"/>
  <c r="F9" i="3"/>
  <c r="I9" i="3" s="1"/>
  <c r="E10" i="3"/>
  <c r="E9" i="3"/>
  <c r="H9" i="3" s="1"/>
  <c r="D10" i="3"/>
  <c r="D9" i="3"/>
  <c r="F7" i="3"/>
  <c r="E7" i="3"/>
  <c r="H7" i="3" s="1"/>
  <c r="D7" i="3"/>
  <c r="H8" i="3"/>
  <c r="H10" i="3"/>
  <c r="H11" i="3"/>
  <c r="H13" i="3"/>
  <c r="H14" i="3"/>
  <c r="H15" i="3"/>
  <c r="H18" i="3"/>
  <c r="H20" i="3"/>
  <c r="H22" i="3"/>
  <c r="H6" i="3"/>
  <c r="H5" i="3"/>
  <c r="I8" i="3"/>
  <c r="I10" i="3"/>
  <c r="I11" i="3"/>
  <c r="I15" i="3"/>
  <c r="I18" i="3"/>
  <c r="I20" i="3"/>
  <c r="I22" i="3"/>
  <c r="I7" i="3"/>
  <c r="I6" i="3"/>
  <c r="I5" i="3"/>
  <c r="I4" i="3"/>
  <c r="H4" i="3"/>
  <c r="G4" i="3"/>
  <c r="F3" i="3"/>
  <c r="E3" i="3"/>
  <c r="N6" i="3" l="1"/>
  <c r="N7" i="3"/>
  <c r="N12" i="3"/>
  <c r="N13" i="3"/>
  <c r="N11" i="3"/>
  <c r="N23" i="3"/>
  <c r="N19" i="3"/>
  <c r="N15" i="3"/>
  <c r="G11" i="3" l="1"/>
  <c r="G23" i="2"/>
  <c r="H23" i="2"/>
  <c r="AD23" i="1"/>
  <c r="AE23" i="1"/>
  <c r="O4" i="1"/>
  <c r="P4" i="1" s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5" i="2"/>
  <c r="H6" i="2"/>
  <c r="H4" i="2"/>
  <c r="G4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6" i="2"/>
  <c r="G5" i="2"/>
  <c r="G23" i="3"/>
  <c r="G7" i="3"/>
  <c r="G8" i="3"/>
  <c r="G9" i="3"/>
  <c r="G10" i="3"/>
  <c r="G12" i="3"/>
  <c r="G13" i="3"/>
  <c r="G14" i="3"/>
  <c r="G15" i="3"/>
  <c r="G16" i="3"/>
  <c r="G17" i="3"/>
  <c r="G18" i="3"/>
  <c r="G19" i="3"/>
  <c r="G20" i="3"/>
  <c r="G21" i="3"/>
  <c r="G22" i="3"/>
  <c r="G6" i="3"/>
  <c r="G5" i="3"/>
  <c r="AD7" i="1"/>
  <c r="AE7" i="1" s="1"/>
  <c r="AD8" i="1"/>
  <c r="AE8" i="1" s="1"/>
  <c r="AD9" i="1"/>
  <c r="AE9" i="1" s="1"/>
  <c r="AD10" i="1"/>
  <c r="AE10" i="1" s="1"/>
  <c r="AD11" i="1"/>
  <c r="AE11" i="1" s="1"/>
  <c r="AD12" i="1"/>
  <c r="AE12" i="1" s="1"/>
  <c r="AD13" i="1"/>
  <c r="AE13" i="1" s="1"/>
  <c r="AD14" i="1"/>
  <c r="AE14" i="1" s="1"/>
  <c r="AD15" i="1"/>
  <c r="AE15" i="1" s="1"/>
  <c r="AD16" i="1"/>
  <c r="AE16" i="1" s="1"/>
  <c r="AD17" i="1"/>
  <c r="AE17" i="1" s="1"/>
  <c r="AD18" i="1"/>
  <c r="AE18" i="1" s="1"/>
  <c r="AD19" i="1"/>
  <c r="AE19" i="1" s="1"/>
  <c r="AD20" i="1"/>
  <c r="AE20" i="1" s="1"/>
  <c r="AD21" i="1"/>
  <c r="AE21" i="1" s="1"/>
  <c r="AD22" i="1"/>
  <c r="AE22" i="1" s="1"/>
  <c r="AD6" i="1"/>
  <c r="AE6" i="1" s="1"/>
  <c r="AE5" i="1"/>
  <c r="P23" i="1"/>
  <c r="P7" i="1"/>
  <c r="P11" i="1"/>
  <c r="P13" i="1"/>
  <c r="P14" i="1"/>
  <c r="P15" i="1"/>
  <c r="P17" i="1"/>
  <c r="P18" i="1"/>
  <c r="P19" i="1"/>
  <c r="O23" i="1"/>
  <c r="O7" i="1"/>
  <c r="O8" i="1"/>
  <c r="P8" i="1" s="1"/>
  <c r="O9" i="1"/>
  <c r="P9" i="1" s="1"/>
  <c r="O10" i="1"/>
  <c r="P10" i="1" s="1"/>
  <c r="O11" i="1"/>
  <c r="O12" i="1"/>
  <c r="P12" i="1" s="1"/>
  <c r="O13" i="1"/>
  <c r="O14" i="1"/>
  <c r="O15" i="1"/>
  <c r="O16" i="1"/>
  <c r="P16" i="1" s="1"/>
  <c r="O17" i="1"/>
  <c r="O18" i="1"/>
  <c r="O19" i="1"/>
  <c r="O20" i="1"/>
  <c r="P20" i="1" s="1"/>
  <c r="O21" i="1"/>
  <c r="P21" i="1" s="1"/>
  <c r="O22" i="1"/>
  <c r="P22" i="1" s="1"/>
  <c r="O6" i="1"/>
  <c r="P6" i="1" s="1"/>
  <c r="O5" i="1"/>
  <c r="P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</author>
  </authors>
  <commentList>
    <comment ref="D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Julián:</t>
        </r>
        <r>
          <rPr>
            <sz val="9"/>
            <color indexed="81"/>
            <rFont val="Tahoma"/>
            <family val="2"/>
          </rPr>
          <t xml:space="preserve">
Ancho máximo es de 2.6 mts. según SCT.</t>
        </r>
      </text>
    </comment>
    <comment ref="H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Julián:</t>
        </r>
        <r>
          <rPr>
            <sz val="9"/>
            <color indexed="81"/>
            <rFont val="Tahoma"/>
            <family val="2"/>
          </rPr>
          <t xml:space="preserve">
Ancho máximo es de 2.6 mts. según SCT.</t>
        </r>
      </text>
    </comment>
    <comment ref="S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Julian:</t>
        </r>
        <r>
          <rPr>
            <sz val="9"/>
            <color indexed="81"/>
            <rFont val="Tahoma"/>
            <family val="2"/>
          </rPr>
          <t xml:space="preserve">
Ancho máximo es de 2.6 mts. según SCT.</t>
        </r>
      </text>
    </comment>
    <comment ref="W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Julian:</t>
        </r>
        <r>
          <rPr>
            <sz val="9"/>
            <color indexed="81"/>
            <rFont val="Tahoma"/>
            <family val="2"/>
          </rPr>
          <t xml:space="preserve">
Ancho máximo es de 2.6 mts. según SCT.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</author>
  </authors>
  <commentList>
    <comment ref="G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Julian:</t>
        </r>
        <r>
          <rPr>
            <sz val="9"/>
            <color indexed="81"/>
            <rFont val="Tahoma"/>
            <family val="2"/>
          </rPr>
          <t xml:space="preserve">
El Porcentaje deberá ser ≥ al 65% (Mayor o igual) ±5% de Distribución.</t>
        </r>
      </text>
    </comment>
  </commentList>
</comments>
</file>

<file path=xl/sharedStrings.xml><?xml version="1.0" encoding="utf-8"?>
<sst xmlns="http://schemas.openxmlformats.org/spreadsheetml/2006/main" count="186" uniqueCount="111">
  <si>
    <t>Largo</t>
  </si>
  <si>
    <t>Ancho</t>
  </si>
  <si>
    <t>Alto</t>
  </si>
  <si>
    <t>Modelo</t>
  </si>
  <si>
    <t>ELF 100E</t>
  </si>
  <si>
    <t>ELF 200E</t>
  </si>
  <si>
    <t>ELF 300E</t>
  </si>
  <si>
    <t>ELF 300H</t>
  </si>
  <si>
    <t>ELF 400H</t>
  </si>
  <si>
    <t>ELF 400K</t>
  </si>
  <si>
    <t>ELF 500K</t>
  </si>
  <si>
    <t>ELF 500H</t>
  </si>
  <si>
    <t>ELF 500M</t>
  </si>
  <si>
    <t>ELF 600K</t>
  </si>
  <si>
    <t>ELF 600H</t>
  </si>
  <si>
    <t>ELF 600M</t>
  </si>
  <si>
    <t>Forward 1100L</t>
  </si>
  <si>
    <t>Forward 1100Q</t>
  </si>
  <si>
    <t>Forward 1400Q</t>
  </si>
  <si>
    <t>ELF 400F</t>
  </si>
  <si>
    <t>ELF 500F</t>
  </si>
  <si>
    <t>Forward 800K</t>
  </si>
  <si>
    <t>Forward 800M</t>
  </si>
  <si>
    <t>Forward 1400K</t>
  </si>
  <si>
    <t>Kg por C/U</t>
  </si>
  <si>
    <t>Peso Total</t>
  </si>
  <si>
    <t>Habilitados</t>
  </si>
  <si>
    <t>Medidas de las Undades - Centímetros - Según Ficha Técnica</t>
  </si>
  <si>
    <t>CA</t>
  </si>
  <si>
    <t>BOC</t>
  </si>
  <si>
    <t>CE</t>
  </si>
  <si>
    <t>.</t>
  </si>
  <si>
    <t>F. Técnica</t>
  </si>
  <si>
    <t>Distribución de la Carga entre la Distancia de los Ejes Según:</t>
  </si>
  <si>
    <t>Capacidad del Tanque de Combustible</t>
  </si>
  <si>
    <t>Litros</t>
  </si>
  <si>
    <t>Kilómetros</t>
  </si>
  <si>
    <t>Real o Carrocero</t>
  </si>
  <si>
    <t>Torque Final Entregado</t>
  </si>
  <si>
    <t>Lb/pie</t>
  </si>
  <si>
    <t>Caballos de Fuerza</t>
  </si>
  <si>
    <t>HP</t>
  </si>
  <si>
    <t>Torque</t>
  </si>
  <si>
    <t>Rendimiento Mínimo Km por Litro</t>
  </si>
  <si>
    <t>Rendimiento Promedio Km por Litro</t>
  </si>
  <si>
    <t>Rendimiento Máximo Km por Litro</t>
  </si>
  <si>
    <t>Distancia Mínima Recorrida con Tanque Lleno</t>
  </si>
  <si>
    <t>Distancia Promedio Recorrida con Tanque Lleno</t>
  </si>
  <si>
    <t>Distancia Máxima Recorrida con Tanque Lleno</t>
  </si>
  <si>
    <t>Relación de la 1° Velocidad</t>
  </si>
  <si>
    <t>Relación del Diferencial</t>
  </si>
  <si>
    <t>Torque de la 1°</t>
  </si>
  <si>
    <t>Por el Diferencial</t>
  </si>
  <si>
    <t>Total Mínimo en Km</t>
  </si>
  <si>
    <t>Total Promedio en Km</t>
  </si>
  <si>
    <t>Total Máximo en Km</t>
  </si>
  <si>
    <t>Lb/pie * Transmisión * Diferencial</t>
  </si>
  <si>
    <t>Número de Cilindros y Litros</t>
  </si>
  <si>
    <t>4C en L 3 Litros</t>
  </si>
  <si>
    <t>4C en L 5.2 Litros</t>
  </si>
  <si>
    <t>6C en L 7.8 Litros</t>
  </si>
  <si>
    <t>Delantero/Trasero - Tipo de Freno - RIN</t>
  </si>
  <si>
    <t>Tipos de Frenos &amp; Tamaño de RIN</t>
  </si>
  <si>
    <t>Tambor/Tambor - Hidráulico - R16</t>
  </si>
  <si>
    <t>Disco/Tambor - Hidráulico - R16</t>
  </si>
  <si>
    <t>Disco/Tambor - Booster Hidráulico - R19.5</t>
  </si>
  <si>
    <t>Tambor/Tambor - Aire Sobre Hidráulico - R19.5</t>
  </si>
  <si>
    <t>Tambor/Tambor - Frenos de Aire - R22.5</t>
  </si>
  <si>
    <t>Tamaño de Motor</t>
  </si>
  <si>
    <t>Distancia Entre Ejes</t>
  </si>
  <si>
    <t>Volado trasero</t>
  </si>
  <si>
    <t>ELF 100E.</t>
  </si>
  <si>
    <t>ELF 200E.</t>
  </si>
  <si>
    <t>ELF 300E.</t>
  </si>
  <si>
    <t>ELF 300H.</t>
  </si>
  <si>
    <t>ELF 350F.</t>
  </si>
  <si>
    <t>ELF 350H.</t>
  </si>
  <si>
    <t>ELF 350K.</t>
  </si>
  <si>
    <t>ELF 400F.</t>
  </si>
  <si>
    <t>ELF 400H.</t>
  </si>
  <si>
    <t>ELF 400K.</t>
  </si>
  <si>
    <t>ELF 500F.</t>
  </si>
  <si>
    <t>ELF 500H.</t>
  </si>
  <si>
    <t>ELF 500K.</t>
  </si>
  <si>
    <t>ELF 500M+</t>
  </si>
  <si>
    <t>ELF 500M+.</t>
  </si>
  <si>
    <t>ELF 600H.</t>
  </si>
  <si>
    <t>ELF 600K.</t>
  </si>
  <si>
    <t>ELF 600M+</t>
  </si>
  <si>
    <t>ELF 600M+.</t>
  </si>
  <si>
    <t>FORWARD 800K</t>
  </si>
  <si>
    <t>FORWARD 800K.</t>
  </si>
  <si>
    <t>FORWARD 800M</t>
  </si>
  <si>
    <t>FORWARD 800M.</t>
  </si>
  <si>
    <t>FORWARD 1100L</t>
  </si>
  <si>
    <t>FORWARD 1100M.</t>
  </si>
  <si>
    <t>FORWARD 1100Q</t>
  </si>
  <si>
    <t>FORWARD 1100Q.</t>
  </si>
  <si>
    <t>FORWARD 1400K</t>
  </si>
  <si>
    <t>FORWARD 1400M.</t>
  </si>
  <si>
    <t>FORWARD 1400Q</t>
  </si>
  <si>
    <t>FORWARD 1400Q.</t>
  </si>
  <si>
    <t>BBC</t>
  </si>
  <si>
    <t>BA</t>
  </si>
  <si>
    <t>Centro Eje &amp; Cabina</t>
  </si>
  <si>
    <t>Medidas para Carga en Exterior - Centímetros - Idóneas</t>
  </si>
  <si>
    <t>Medidas para Carga en Interior - Centímetros - Idóneas</t>
  </si>
  <si>
    <t>Medidas del Producto y Peso Unitario
(Frente a la Capacidad de Carga Idónea)</t>
  </si>
  <si>
    <t>Medidas del Producto y Peso Unitario
(Frente a la Capacidad de Carga Máxima)</t>
  </si>
  <si>
    <t>Medidas para Carga en Interior - Centímetros - Máximas</t>
  </si>
  <si>
    <t>Medidas en Exterior - Centímetros - Máximas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</si>
</sst>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0" fontId="1" fillId="0" borderId="9" xfId="0" applyNumberFormat="1" applyFon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0" fontId="1" fillId="0" borderId="5" xfId="0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2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0" fontId="1" fillId="4" borderId="0" xfId="0" applyNumberFormat="1" applyFont="1" applyFill="1" applyAlignment="1">
      <alignment horizontal="center" vertical="center"/>
    </xf>
    <xf numFmtId="10" fontId="1" fillId="4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2" fontId="5" fillId="7" borderId="0" xfId="0" applyNumberFormat="1" applyFont="1" applyFill="1" applyAlignment="1">
      <alignment horizontal="center" vertical="center"/>
    </xf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G24"/>
  <sheetViews>
    <sheetView tabSelected="1" workbookViewId="0">
      <pane xSplit="2" ySplit="3" topLeftCell="Q4" activePane="bottomRight" state="frozen"/>
      <selection pane="topRight" activeCell="C1" sqref="C1"/>
      <selection pane="bottomLeft" activeCell="A4" sqref="A4"/>
      <selection pane="bottomRight" activeCell="Z5" sqref="Z5"/>
    </sheetView>
  </sheetViews>
  <sheetFormatPr baseColWidth="10" defaultColWidth="12.85546875" defaultRowHeight="16.5" customHeight="1" x14ac:dyDescent="0.25"/>
  <cols>
    <col min="1" max="1" width="3.140625" style="1" customWidth="1"/>
    <col min="2" max="2" width="17.140625" style="1" bestFit="1" customWidth="1"/>
    <col min="3" max="5" width="14.28515625" style="1" customWidth="1"/>
    <col min="6" max="6" width="3.140625" style="1" customWidth="1"/>
    <col min="7" max="9" width="14.28515625" style="1" customWidth="1"/>
    <col min="10" max="10" width="3.140625" style="1" customWidth="1"/>
    <col min="11" max="16" width="14.5703125" style="1" customWidth="1"/>
    <col min="17" max="17" width="3.140625" style="1" customWidth="1"/>
    <col min="18" max="20" width="14.28515625" style="1" customWidth="1"/>
    <col min="21" max="21" width="3.140625" style="1" customWidth="1"/>
    <col min="22" max="24" width="14.28515625" style="1" customWidth="1"/>
    <col min="25" max="25" width="3.140625" style="1" customWidth="1"/>
    <col min="26" max="31" width="14.5703125" style="1" customWidth="1"/>
    <col min="32" max="16384" width="12.85546875" style="1"/>
  </cols>
  <sheetData>
    <row r="1" spans="2:33" ht="16.5" customHeight="1" thickBot="1" x14ac:dyDescent="0.3">
      <c r="AG1" s="7" t="s">
        <v>31</v>
      </c>
    </row>
    <row r="2" spans="2:33" ht="33" customHeight="1" thickTop="1" thickBot="1" x14ac:dyDescent="0.3">
      <c r="B2" s="11"/>
      <c r="C2" s="35" t="s">
        <v>110</v>
      </c>
      <c r="D2" s="33"/>
      <c r="E2" s="33"/>
      <c r="F2" s="23"/>
      <c r="G2" s="33" t="s">
        <v>109</v>
      </c>
      <c r="H2" s="33"/>
      <c r="I2" s="33"/>
      <c r="J2" s="23"/>
      <c r="K2" s="33" t="s">
        <v>108</v>
      </c>
      <c r="L2" s="33"/>
      <c r="M2" s="33"/>
      <c r="N2" s="33"/>
      <c r="O2" s="33"/>
      <c r="P2" s="33"/>
      <c r="Q2" s="23"/>
      <c r="R2" s="33" t="s">
        <v>105</v>
      </c>
      <c r="S2" s="33"/>
      <c r="T2" s="33"/>
      <c r="U2" s="23"/>
      <c r="V2" s="33" t="s">
        <v>106</v>
      </c>
      <c r="W2" s="33"/>
      <c r="X2" s="33"/>
      <c r="Y2" s="23"/>
      <c r="Z2" s="33" t="s">
        <v>107</v>
      </c>
      <c r="AA2" s="33"/>
      <c r="AB2" s="33"/>
      <c r="AC2" s="33"/>
      <c r="AD2" s="33"/>
      <c r="AE2" s="34"/>
      <c r="AF2" s="3"/>
    </row>
    <row r="3" spans="2:33" ht="16.5" customHeight="1" thickTop="1" x14ac:dyDescent="0.25">
      <c r="B3" s="3" t="s">
        <v>3</v>
      </c>
      <c r="C3" s="1" t="s">
        <v>0</v>
      </c>
      <c r="D3" s="1" t="s">
        <v>1</v>
      </c>
      <c r="E3" s="1" t="s">
        <v>2</v>
      </c>
      <c r="F3" s="24"/>
      <c r="G3" s="1" t="s">
        <v>0</v>
      </c>
      <c r="H3" s="1" t="s">
        <v>1</v>
      </c>
      <c r="I3" s="1" t="s">
        <v>2</v>
      </c>
      <c r="J3" s="24"/>
      <c r="K3" s="1" t="s">
        <v>0</v>
      </c>
      <c r="L3" s="1" t="s">
        <v>1</v>
      </c>
      <c r="M3" s="1" t="s">
        <v>2</v>
      </c>
      <c r="N3" s="1" t="s">
        <v>24</v>
      </c>
      <c r="O3" s="1" t="s">
        <v>26</v>
      </c>
      <c r="P3" s="1" t="s">
        <v>25</v>
      </c>
      <c r="Q3" s="24"/>
      <c r="R3" s="1" t="s">
        <v>0</v>
      </c>
      <c r="S3" s="1" t="s">
        <v>1</v>
      </c>
      <c r="T3" s="1" t="s">
        <v>2</v>
      </c>
      <c r="U3" s="24"/>
      <c r="V3" s="1" t="s">
        <v>0</v>
      </c>
      <c r="W3" s="1" t="s">
        <v>1</v>
      </c>
      <c r="X3" s="1" t="s">
        <v>2</v>
      </c>
      <c r="Y3" s="24"/>
      <c r="Z3" s="1" t="s">
        <v>0</v>
      </c>
      <c r="AA3" s="1" t="s">
        <v>1</v>
      </c>
      <c r="AB3" s="1" t="s">
        <v>2</v>
      </c>
      <c r="AC3" s="1" t="s">
        <v>24</v>
      </c>
      <c r="AD3" s="1" t="s">
        <v>26</v>
      </c>
      <c r="AE3" s="1" t="s">
        <v>25</v>
      </c>
      <c r="AF3" s="3"/>
    </row>
    <row r="4" spans="2:33" ht="16.5" customHeight="1" x14ac:dyDescent="0.25">
      <c r="B4" s="4" t="s">
        <v>4</v>
      </c>
      <c r="C4" s="5">
        <v>350</v>
      </c>
      <c r="D4" s="5">
        <v>190</v>
      </c>
      <c r="E4" s="5"/>
      <c r="F4" s="24"/>
      <c r="G4" s="6"/>
      <c r="H4" s="6"/>
      <c r="I4" s="6"/>
      <c r="J4" s="24"/>
      <c r="K4" s="6"/>
      <c r="L4" s="6"/>
      <c r="M4" s="6"/>
      <c r="N4" s="6"/>
      <c r="O4" s="6" t="e">
        <f>(($G4*$H4*$I4))/(($K4*$L4*$M4))</f>
        <v>#DIV/0!</v>
      </c>
      <c r="P4" s="6" t="e">
        <f>$N4*$O4</f>
        <v>#DIV/0!</v>
      </c>
      <c r="Q4" s="24"/>
      <c r="R4" s="5">
        <v>330</v>
      </c>
      <c r="S4" s="5">
        <v>200</v>
      </c>
      <c r="T4" s="5">
        <v>200</v>
      </c>
      <c r="U4" s="24"/>
      <c r="V4" s="5">
        <v>315</v>
      </c>
      <c r="W4" s="5">
        <v>190</v>
      </c>
      <c r="X4" s="5">
        <v>180</v>
      </c>
      <c r="Y4" s="24"/>
      <c r="Z4" s="5"/>
      <c r="AA4" s="5"/>
      <c r="AB4" s="5"/>
      <c r="AC4" s="5"/>
      <c r="AD4" s="6" t="e">
        <f>(($V4*$W4*$X4))/(($Z4*$AA4*$AB4))</f>
        <v>#DIV/0!</v>
      </c>
      <c r="AE4" s="6" t="e">
        <f>$AC4*$AD4</f>
        <v>#DIV/0!</v>
      </c>
      <c r="AF4" s="3"/>
    </row>
    <row r="5" spans="2:33" ht="16.5" customHeight="1" x14ac:dyDescent="0.25">
      <c r="B5" s="3" t="s">
        <v>5</v>
      </c>
      <c r="C5" s="2">
        <v>350</v>
      </c>
      <c r="D5" s="2">
        <v>190</v>
      </c>
      <c r="E5" s="2"/>
      <c r="F5" s="24"/>
      <c r="J5" s="24"/>
      <c r="O5" s="1" t="e">
        <f>(($G5*$H5*$I5))/(($K5*$L5*$M5))</f>
        <v>#DIV/0!</v>
      </c>
      <c r="P5" s="1" t="e">
        <f>$N5*$O5</f>
        <v>#DIV/0!</v>
      </c>
      <c r="Q5" s="24"/>
      <c r="R5" s="2">
        <v>330</v>
      </c>
      <c r="S5" s="2">
        <v>200</v>
      </c>
      <c r="T5" s="2">
        <v>200</v>
      </c>
      <c r="U5" s="24"/>
      <c r="V5" s="2">
        <v>315</v>
      </c>
      <c r="W5" s="2">
        <v>190</v>
      </c>
      <c r="X5" s="2">
        <v>180</v>
      </c>
      <c r="Y5" s="24"/>
      <c r="Z5" s="2"/>
      <c r="AA5" s="2"/>
      <c r="AB5" s="2"/>
      <c r="AC5" s="2"/>
      <c r="AD5" s="1" t="e">
        <f>(($V5*$W5*$X5))/(($Z5*$AA5*$AB5))</f>
        <v>#DIV/0!</v>
      </c>
      <c r="AE5" s="1" t="e">
        <f>$AC5*$AD5</f>
        <v>#DIV/0!</v>
      </c>
      <c r="AF5" s="3"/>
    </row>
    <row r="6" spans="2:33" ht="16.5" customHeight="1" x14ac:dyDescent="0.25">
      <c r="B6" s="4" t="s">
        <v>6</v>
      </c>
      <c r="C6" s="5">
        <v>350</v>
      </c>
      <c r="D6" s="5">
        <v>200</v>
      </c>
      <c r="E6" s="5"/>
      <c r="F6" s="24"/>
      <c r="G6" s="6"/>
      <c r="H6" s="6"/>
      <c r="I6" s="6"/>
      <c r="J6" s="24"/>
      <c r="K6" s="6"/>
      <c r="L6" s="6"/>
      <c r="M6" s="6"/>
      <c r="N6" s="6"/>
      <c r="O6" s="6" t="e">
        <f>(($G6*$H6*$I6))/(($K6*$L6*$M6))</f>
        <v>#DIV/0!</v>
      </c>
      <c r="P6" s="6" t="e">
        <f>$N6*$O6</f>
        <v>#DIV/0!</v>
      </c>
      <c r="Q6" s="24"/>
      <c r="R6" s="5">
        <v>330</v>
      </c>
      <c r="S6" s="5">
        <v>200</v>
      </c>
      <c r="T6" s="5">
        <v>200</v>
      </c>
      <c r="U6" s="24"/>
      <c r="V6" s="5">
        <v>315</v>
      </c>
      <c r="W6" s="5">
        <v>190</v>
      </c>
      <c r="X6" s="5">
        <v>180</v>
      </c>
      <c r="Y6" s="24"/>
      <c r="Z6" s="5"/>
      <c r="AA6" s="5"/>
      <c r="AB6" s="5"/>
      <c r="AC6" s="5"/>
      <c r="AD6" s="6" t="e">
        <f>(($V6*$W6*$X6))/(($Z6*$AA6*$AB6))</f>
        <v>#DIV/0!</v>
      </c>
      <c r="AE6" s="6" t="e">
        <f>$AC6*$AD6</f>
        <v>#DIV/0!</v>
      </c>
      <c r="AF6" s="3"/>
    </row>
    <row r="7" spans="2:33" ht="16.5" customHeight="1" x14ac:dyDescent="0.25">
      <c r="B7" s="3" t="s">
        <v>7</v>
      </c>
      <c r="C7" s="2">
        <v>450</v>
      </c>
      <c r="D7" s="2">
        <v>200</v>
      </c>
      <c r="E7" s="2"/>
      <c r="F7" s="24"/>
      <c r="J7" s="24"/>
      <c r="O7" s="1" t="e">
        <f t="shared" ref="O7:O22" si="0">(($G7*$H7*$I7))/(($K7*$L7*$M7))</f>
        <v>#DIV/0!</v>
      </c>
      <c r="P7" s="1" t="e">
        <f t="shared" ref="P7:P22" si="1">$N7*$O7</f>
        <v>#DIV/0!</v>
      </c>
      <c r="Q7" s="24"/>
      <c r="R7" s="2">
        <v>450</v>
      </c>
      <c r="S7" s="2">
        <v>200</v>
      </c>
      <c r="T7" s="2">
        <v>200</v>
      </c>
      <c r="U7" s="24"/>
      <c r="V7" s="2">
        <v>430</v>
      </c>
      <c r="W7" s="2">
        <v>190</v>
      </c>
      <c r="X7" s="2">
        <v>180</v>
      </c>
      <c r="Y7" s="24"/>
      <c r="Z7" s="2"/>
      <c r="AA7" s="2"/>
      <c r="AB7" s="2"/>
      <c r="AC7" s="2"/>
      <c r="AD7" s="1" t="e">
        <f t="shared" ref="AD7:AD22" si="2">(($V7*$W7*$X7))/(($Z7*$AA7*$AB7))</f>
        <v>#DIV/0!</v>
      </c>
      <c r="AE7" s="1" t="e">
        <f t="shared" ref="AE7:AE22" si="3">$AC7*$AD7</f>
        <v>#DIV/0!</v>
      </c>
      <c r="AF7" s="3"/>
    </row>
    <row r="8" spans="2:33" ht="16.5" customHeight="1" x14ac:dyDescent="0.25">
      <c r="B8" s="4" t="s">
        <v>19</v>
      </c>
      <c r="C8" s="5">
        <v>380</v>
      </c>
      <c r="D8" s="5">
        <v>240</v>
      </c>
      <c r="E8" s="5"/>
      <c r="F8" s="24"/>
      <c r="G8" s="6"/>
      <c r="H8" s="6"/>
      <c r="I8" s="6"/>
      <c r="J8" s="24"/>
      <c r="K8" s="6"/>
      <c r="L8" s="6"/>
      <c r="M8" s="6"/>
      <c r="N8" s="6"/>
      <c r="O8" s="6" t="e">
        <f t="shared" si="0"/>
        <v>#DIV/0!</v>
      </c>
      <c r="P8" s="6" t="e">
        <f t="shared" si="1"/>
        <v>#DIV/0!</v>
      </c>
      <c r="Q8" s="24"/>
      <c r="R8" s="5">
        <v>380</v>
      </c>
      <c r="S8" s="5">
        <v>240</v>
      </c>
      <c r="T8" s="5">
        <v>230</v>
      </c>
      <c r="U8" s="24"/>
      <c r="V8" s="5">
        <v>360</v>
      </c>
      <c r="W8" s="5">
        <v>230</v>
      </c>
      <c r="X8" s="5">
        <v>210</v>
      </c>
      <c r="Y8" s="24"/>
      <c r="Z8" s="5"/>
      <c r="AA8" s="5"/>
      <c r="AB8" s="5"/>
      <c r="AC8" s="5"/>
      <c r="AD8" s="6" t="e">
        <f t="shared" si="2"/>
        <v>#DIV/0!</v>
      </c>
      <c r="AE8" s="6" t="e">
        <f t="shared" si="3"/>
        <v>#DIV/0!</v>
      </c>
      <c r="AF8" s="3"/>
    </row>
    <row r="9" spans="2:33" ht="16.5" customHeight="1" x14ac:dyDescent="0.25">
      <c r="B9" s="3" t="s">
        <v>8</v>
      </c>
      <c r="C9" s="2">
        <v>440</v>
      </c>
      <c r="D9" s="2">
        <v>240</v>
      </c>
      <c r="E9" s="2"/>
      <c r="F9" s="24"/>
      <c r="J9" s="24"/>
      <c r="O9" s="1" t="e">
        <f t="shared" si="0"/>
        <v>#DIV/0!</v>
      </c>
      <c r="P9" s="1" t="e">
        <f t="shared" si="1"/>
        <v>#DIV/0!</v>
      </c>
      <c r="Q9" s="24"/>
      <c r="R9" s="2">
        <v>460</v>
      </c>
      <c r="S9" s="2">
        <v>240</v>
      </c>
      <c r="T9" s="2">
        <v>230</v>
      </c>
      <c r="U9" s="24"/>
      <c r="V9" s="2">
        <v>440</v>
      </c>
      <c r="W9" s="2">
        <v>230</v>
      </c>
      <c r="X9" s="2">
        <v>210</v>
      </c>
      <c r="Y9" s="24"/>
      <c r="Z9" s="2"/>
      <c r="AA9" s="2"/>
      <c r="AB9" s="2"/>
      <c r="AC9" s="2"/>
      <c r="AD9" s="1" t="e">
        <f t="shared" si="2"/>
        <v>#DIV/0!</v>
      </c>
      <c r="AE9" s="1" t="e">
        <f t="shared" si="3"/>
        <v>#DIV/0!</v>
      </c>
      <c r="AF9" s="3"/>
    </row>
    <row r="10" spans="2:33" ht="16.5" customHeight="1" x14ac:dyDescent="0.25">
      <c r="B10" s="4" t="s">
        <v>9</v>
      </c>
      <c r="C10" s="5">
        <v>480</v>
      </c>
      <c r="D10" s="5">
        <v>240</v>
      </c>
      <c r="E10" s="5"/>
      <c r="F10" s="24"/>
      <c r="G10" s="6"/>
      <c r="H10" s="6"/>
      <c r="I10" s="6"/>
      <c r="J10" s="24"/>
      <c r="K10" s="6"/>
      <c r="L10" s="6"/>
      <c r="M10" s="6"/>
      <c r="N10" s="6"/>
      <c r="O10" s="6" t="e">
        <f t="shared" si="0"/>
        <v>#DIV/0!</v>
      </c>
      <c r="P10" s="6" t="e">
        <f t="shared" si="1"/>
        <v>#DIV/0!</v>
      </c>
      <c r="Q10" s="24"/>
      <c r="R10" s="5">
        <v>500</v>
      </c>
      <c r="S10" s="5">
        <v>240</v>
      </c>
      <c r="T10" s="5">
        <v>230</v>
      </c>
      <c r="U10" s="24"/>
      <c r="V10" s="5">
        <v>480</v>
      </c>
      <c r="W10" s="5">
        <v>230</v>
      </c>
      <c r="X10" s="5">
        <v>210</v>
      </c>
      <c r="Y10" s="24"/>
      <c r="Z10" s="5"/>
      <c r="AA10" s="5"/>
      <c r="AB10" s="5"/>
      <c r="AC10" s="5"/>
      <c r="AD10" s="6" t="e">
        <f t="shared" si="2"/>
        <v>#DIV/0!</v>
      </c>
      <c r="AE10" s="6" t="e">
        <f t="shared" si="3"/>
        <v>#DIV/0!</v>
      </c>
      <c r="AF10" s="3"/>
    </row>
    <row r="11" spans="2:33" ht="16.5" customHeight="1" x14ac:dyDescent="0.25">
      <c r="B11" s="3" t="s">
        <v>20</v>
      </c>
      <c r="C11" s="2">
        <v>380</v>
      </c>
      <c r="D11" s="2">
        <v>240</v>
      </c>
      <c r="E11" s="2"/>
      <c r="F11" s="24"/>
      <c r="J11" s="24"/>
      <c r="O11" s="1" t="e">
        <f t="shared" si="0"/>
        <v>#DIV/0!</v>
      </c>
      <c r="P11" s="1" t="e">
        <f t="shared" si="1"/>
        <v>#DIV/0!</v>
      </c>
      <c r="Q11" s="24"/>
      <c r="R11" s="2">
        <v>380</v>
      </c>
      <c r="S11" s="2">
        <v>240</v>
      </c>
      <c r="T11" s="2">
        <v>230</v>
      </c>
      <c r="U11" s="24"/>
      <c r="V11" s="2">
        <v>360</v>
      </c>
      <c r="W11" s="2">
        <v>230</v>
      </c>
      <c r="X11" s="2">
        <v>210</v>
      </c>
      <c r="Y11" s="24"/>
      <c r="Z11" s="2"/>
      <c r="AA11" s="2"/>
      <c r="AB11" s="2"/>
      <c r="AC11" s="2"/>
      <c r="AD11" s="1" t="e">
        <f t="shared" si="2"/>
        <v>#DIV/0!</v>
      </c>
      <c r="AE11" s="1" t="e">
        <f t="shared" si="3"/>
        <v>#DIV/0!</v>
      </c>
      <c r="AF11" s="3"/>
    </row>
    <row r="12" spans="2:33" ht="16.5" customHeight="1" x14ac:dyDescent="0.25">
      <c r="B12" s="4" t="s">
        <v>11</v>
      </c>
      <c r="C12" s="5">
        <v>457.2</v>
      </c>
      <c r="D12" s="5">
        <v>240</v>
      </c>
      <c r="E12" s="5"/>
      <c r="F12" s="24"/>
      <c r="G12" s="6"/>
      <c r="H12" s="6"/>
      <c r="I12" s="6"/>
      <c r="J12" s="24"/>
      <c r="K12" s="6"/>
      <c r="L12" s="6"/>
      <c r="M12" s="6"/>
      <c r="N12" s="6"/>
      <c r="O12" s="6" t="e">
        <f t="shared" si="0"/>
        <v>#DIV/0!</v>
      </c>
      <c r="P12" s="6" t="e">
        <f t="shared" si="1"/>
        <v>#DIV/0!</v>
      </c>
      <c r="Q12" s="24"/>
      <c r="R12" s="5">
        <v>460</v>
      </c>
      <c r="S12" s="5">
        <v>240</v>
      </c>
      <c r="T12" s="5">
        <v>230</v>
      </c>
      <c r="U12" s="24"/>
      <c r="V12" s="5">
        <v>440</v>
      </c>
      <c r="W12" s="5">
        <v>230</v>
      </c>
      <c r="X12" s="5">
        <v>210</v>
      </c>
      <c r="Y12" s="24"/>
      <c r="Z12" s="5"/>
      <c r="AA12" s="5"/>
      <c r="AB12" s="5"/>
      <c r="AC12" s="5"/>
      <c r="AD12" s="6" t="e">
        <f t="shared" si="2"/>
        <v>#DIV/0!</v>
      </c>
      <c r="AE12" s="6" t="e">
        <f t="shared" si="3"/>
        <v>#DIV/0!</v>
      </c>
      <c r="AF12" s="3"/>
    </row>
    <row r="13" spans="2:33" ht="16.5" customHeight="1" x14ac:dyDescent="0.25">
      <c r="B13" s="3" t="s">
        <v>10</v>
      </c>
      <c r="C13" s="2">
        <v>548.6</v>
      </c>
      <c r="D13" s="2">
        <v>240</v>
      </c>
      <c r="E13" s="2"/>
      <c r="F13" s="24"/>
      <c r="J13" s="24"/>
      <c r="O13" s="1" t="e">
        <f t="shared" si="0"/>
        <v>#DIV/0!</v>
      </c>
      <c r="P13" s="1" t="e">
        <f t="shared" si="1"/>
        <v>#DIV/0!</v>
      </c>
      <c r="Q13" s="24"/>
      <c r="R13" s="2">
        <v>500</v>
      </c>
      <c r="S13" s="2">
        <v>240</v>
      </c>
      <c r="T13" s="2">
        <v>230</v>
      </c>
      <c r="U13" s="24"/>
      <c r="V13" s="2">
        <v>480</v>
      </c>
      <c r="W13" s="2">
        <v>230</v>
      </c>
      <c r="X13" s="2">
        <v>210</v>
      </c>
      <c r="Y13" s="24"/>
      <c r="Z13" s="2"/>
      <c r="AA13" s="2"/>
      <c r="AB13" s="2"/>
      <c r="AC13" s="2"/>
      <c r="AD13" s="1" t="e">
        <f t="shared" si="2"/>
        <v>#DIV/0!</v>
      </c>
      <c r="AE13" s="1" t="e">
        <f t="shared" si="3"/>
        <v>#DIV/0!</v>
      </c>
      <c r="AF13" s="3"/>
    </row>
    <row r="14" spans="2:33" ht="16.5" customHeight="1" x14ac:dyDescent="0.25">
      <c r="B14" s="4" t="s">
        <v>12</v>
      </c>
      <c r="C14" s="5">
        <v>609.6</v>
      </c>
      <c r="D14" s="5">
        <v>240</v>
      </c>
      <c r="E14" s="5"/>
      <c r="F14" s="24"/>
      <c r="G14" s="6"/>
      <c r="H14" s="6"/>
      <c r="I14" s="6"/>
      <c r="J14" s="24"/>
      <c r="K14" s="6"/>
      <c r="L14" s="6"/>
      <c r="M14" s="6"/>
      <c r="N14" s="6"/>
      <c r="O14" s="6" t="e">
        <f t="shared" si="0"/>
        <v>#DIV/0!</v>
      </c>
      <c r="P14" s="6" t="e">
        <f t="shared" si="1"/>
        <v>#DIV/0!</v>
      </c>
      <c r="Q14" s="24"/>
      <c r="R14" s="5">
        <v>600</v>
      </c>
      <c r="S14" s="5">
        <v>240</v>
      </c>
      <c r="T14" s="5">
        <v>230</v>
      </c>
      <c r="U14" s="24"/>
      <c r="V14" s="5">
        <v>580</v>
      </c>
      <c r="W14" s="5">
        <v>230</v>
      </c>
      <c r="X14" s="5">
        <v>210</v>
      </c>
      <c r="Y14" s="24"/>
      <c r="Z14" s="5"/>
      <c r="AA14" s="5"/>
      <c r="AB14" s="5"/>
      <c r="AC14" s="5"/>
      <c r="AD14" s="6" t="e">
        <f t="shared" si="2"/>
        <v>#DIV/0!</v>
      </c>
      <c r="AE14" s="6" t="e">
        <f t="shared" si="3"/>
        <v>#DIV/0!</v>
      </c>
      <c r="AF14" s="3"/>
    </row>
    <row r="15" spans="2:33" ht="16.5" customHeight="1" x14ac:dyDescent="0.25">
      <c r="B15" s="3" t="s">
        <v>14</v>
      </c>
      <c r="C15" s="2">
        <v>457.2</v>
      </c>
      <c r="D15" s="2">
        <v>240</v>
      </c>
      <c r="E15" s="2"/>
      <c r="F15" s="24"/>
      <c r="J15" s="24"/>
      <c r="O15" s="1" t="e">
        <f t="shared" si="0"/>
        <v>#DIV/0!</v>
      </c>
      <c r="P15" s="1" t="e">
        <f t="shared" si="1"/>
        <v>#DIV/0!</v>
      </c>
      <c r="Q15" s="24"/>
      <c r="R15" s="2">
        <v>480</v>
      </c>
      <c r="S15" s="2">
        <v>240</v>
      </c>
      <c r="T15" s="2">
        <v>230</v>
      </c>
      <c r="U15" s="24"/>
      <c r="V15" s="2">
        <v>440</v>
      </c>
      <c r="W15" s="2">
        <v>230</v>
      </c>
      <c r="X15" s="2">
        <v>210</v>
      </c>
      <c r="Y15" s="24"/>
      <c r="Z15" s="2"/>
      <c r="AA15" s="2"/>
      <c r="AB15" s="2"/>
      <c r="AC15" s="2"/>
      <c r="AD15" s="1" t="e">
        <f t="shared" si="2"/>
        <v>#DIV/0!</v>
      </c>
      <c r="AE15" s="1" t="e">
        <f t="shared" si="3"/>
        <v>#DIV/0!</v>
      </c>
      <c r="AF15" s="3"/>
    </row>
    <row r="16" spans="2:33" ht="16.5" customHeight="1" x14ac:dyDescent="0.25">
      <c r="B16" s="4" t="s">
        <v>13</v>
      </c>
      <c r="C16" s="5">
        <v>548.6</v>
      </c>
      <c r="D16" s="5">
        <v>240</v>
      </c>
      <c r="E16" s="5"/>
      <c r="F16" s="24"/>
      <c r="G16" s="6"/>
      <c r="H16" s="6"/>
      <c r="I16" s="6"/>
      <c r="J16" s="24"/>
      <c r="K16" s="6"/>
      <c r="L16" s="6"/>
      <c r="M16" s="6"/>
      <c r="N16" s="6"/>
      <c r="O16" s="6" t="e">
        <f t="shared" si="0"/>
        <v>#DIV/0!</v>
      </c>
      <c r="P16" s="6" t="e">
        <f t="shared" si="1"/>
        <v>#DIV/0!</v>
      </c>
      <c r="Q16" s="24"/>
      <c r="R16" s="5">
        <v>500</v>
      </c>
      <c r="S16" s="5">
        <v>240</v>
      </c>
      <c r="T16" s="5">
        <v>230</v>
      </c>
      <c r="U16" s="24"/>
      <c r="V16" s="5">
        <v>480</v>
      </c>
      <c r="W16" s="5">
        <v>230</v>
      </c>
      <c r="X16" s="5">
        <v>210</v>
      </c>
      <c r="Y16" s="24"/>
      <c r="Z16" s="5"/>
      <c r="AA16" s="5"/>
      <c r="AB16" s="5"/>
      <c r="AC16" s="5"/>
      <c r="AD16" s="6" t="e">
        <f t="shared" si="2"/>
        <v>#DIV/0!</v>
      </c>
      <c r="AE16" s="6" t="e">
        <f t="shared" si="3"/>
        <v>#DIV/0!</v>
      </c>
      <c r="AF16" s="3"/>
    </row>
    <row r="17" spans="2:32" ht="16.5" customHeight="1" x14ac:dyDescent="0.25">
      <c r="B17" s="3" t="s">
        <v>15</v>
      </c>
      <c r="C17" s="2">
        <v>609.6</v>
      </c>
      <c r="D17" s="2">
        <v>240</v>
      </c>
      <c r="E17" s="2"/>
      <c r="F17" s="24"/>
      <c r="J17" s="24"/>
      <c r="O17" s="1" t="e">
        <f t="shared" si="0"/>
        <v>#DIV/0!</v>
      </c>
      <c r="P17" s="1" t="e">
        <f t="shared" si="1"/>
        <v>#DIV/0!</v>
      </c>
      <c r="Q17" s="24"/>
      <c r="R17" s="2">
        <v>600</v>
      </c>
      <c r="S17" s="2">
        <v>240</v>
      </c>
      <c r="T17" s="2">
        <v>230</v>
      </c>
      <c r="U17" s="24"/>
      <c r="V17" s="2">
        <v>580</v>
      </c>
      <c r="W17" s="2">
        <v>230</v>
      </c>
      <c r="X17" s="2">
        <v>210</v>
      </c>
      <c r="Y17" s="24"/>
      <c r="Z17" s="2"/>
      <c r="AA17" s="2"/>
      <c r="AB17" s="2"/>
      <c r="AC17" s="2"/>
      <c r="AD17" s="1" t="e">
        <f t="shared" si="2"/>
        <v>#DIV/0!</v>
      </c>
      <c r="AE17" s="1" t="e">
        <f t="shared" si="3"/>
        <v>#DIV/0!</v>
      </c>
      <c r="AF17" s="3"/>
    </row>
    <row r="18" spans="2:32" ht="16.5" customHeight="1" x14ac:dyDescent="0.25">
      <c r="B18" s="4" t="s">
        <v>21</v>
      </c>
      <c r="C18" s="5">
        <v>526.70000000000005</v>
      </c>
      <c r="D18" s="5">
        <v>250</v>
      </c>
      <c r="E18" s="5"/>
      <c r="F18" s="24"/>
      <c r="G18" s="6"/>
      <c r="H18" s="6"/>
      <c r="I18" s="6"/>
      <c r="J18" s="24"/>
      <c r="K18" s="6"/>
      <c r="L18" s="6"/>
      <c r="M18" s="6"/>
      <c r="N18" s="6"/>
      <c r="O18" s="6" t="e">
        <f t="shared" si="0"/>
        <v>#DIV/0!</v>
      </c>
      <c r="P18" s="6" t="e">
        <f t="shared" si="1"/>
        <v>#DIV/0!</v>
      </c>
      <c r="Q18" s="24"/>
      <c r="R18" s="5">
        <v>550</v>
      </c>
      <c r="S18" s="5">
        <v>250</v>
      </c>
      <c r="T18" s="5">
        <v>230</v>
      </c>
      <c r="U18" s="24"/>
      <c r="V18" s="5">
        <v>520</v>
      </c>
      <c r="W18" s="5">
        <v>240</v>
      </c>
      <c r="X18" s="5">
        <v>210</v>
      </c>
      <c r="Y18" s="24"/>
      <c r="Z18" s="5"/>
      <c r="AA18" s="5"/>
      <c r="AB18" s="5"/>
      <c r="AC18" s="5"/>
      <c r="AD18" s="6" t="e">
        <f t="shared" si="2"/>
        <v>#DIV/0!</v>
      </c>
      <c r="AE18" s="6" t="e">
        <f t="shared" si="3"/>
        <v>#DIV/0!</v>
      </c>
      <c r="AF18" s="3"/>
    </row>
    <row r="19" spans="2:32" ht="16.5" customHeight="1" x14ac:dyDescent="0.25">
      <c r="B19" s="3" t="s">
        <v>22</v>
      </c>
      <c r="C19" s="2">
        <v>626.70000000000005</v>
      </c>
      <c r="D19" s="2">
        <v>250</v>
      </c>
      <c r="E19" s="2"/>
      <c r="F19" s="24"/>
      <c r="J19" s="24"/>
      <c r="O19" s="1" t="e">
        <f t="shared" si="0"/>
        <v>#DIV/0!</v>
      </c>
      <c r="P19" s="1" t="e">
        <f t="shared" si="1"/>
        <v>#DIV/0!</v>
      </c>
      <c r="Q19" s="24"/>
      <c r="R19" s="2">
        <v>650</v>
      </c>
      <c r="S19" s="2">
        <v>250</v>
      </c>
      <c r="T19" s="2">
        <v>230</v>
      </c>
      <c r="U19" s="24"/>
      <c r="V19" s="2">
        <v>630</v>
      </c>
      <c r="W19" s="2">
        <v>240</v>
      </c>
      <c r="X19" s="2">
        <v>210</v>
      </c>
      <c r="Y19" s="24"/>
      <c r="Z19" s="2"/>
      <c r="AA19" s="2"/>
      <c r="AB19" s="2"/>
      <c r="AC19" s="2"/>
      <c r="AD19" s="1" t="e">
        <f t="shared" si="2"/>
        <v>#DIV/0!</v>
      </c>
      <c r="AE19" s="1" t="e">
        <f t="shared" si="3"/>
        <v>#DIV/0!</v>
      </c>
      <c r="AF19" s="3"/>
    </row>
    <row r="20" spans="2:32" ht="16.5" customHeight="1" x14ac:dyDescent="0.25">
      <c r="B20" s="4" t="s">
        <v>16</v>
      </c>
      <c r="C20" s="5">
        <v>609.6</v>
      </c>
      <c r="D20" s="5">
        <v>250</v>
      </c>
      <c r="E20" s="5"/>
      <c r="F20" s="24"/>
      <c r="G20" s="6"/>
      <c r="H20" s="6"/>
      <c r="I20" s="6"/>
      <c r="J20" s="24"/>
      <c r="K20" s="6"/>
      <c r="L20" s="6"/>
      <c r="M20" s="6"/>
      <c r="N20" s="6"/>
      <c r="O20" s="6" t="e">
        <f t="shared" si="0"/>
        <v>#DIV/0!</v>
      </c>
      <c r="P20" s="6" t="e">
        <f t="shared" si="1"/>
        <v>#DIV/0!</v>
      </c>
      <c r="Q20" s="24"/>
      <c r="R20" s="5">
        <v>620</v>
      </c>
      <c r="S20" s="5">
        <v>260</v>
      </c>
      <c r="T20" s="5">
        <v>250</v>
      </c>
      <c r="U20" s="24"/>
      <c r="V20" s="5">
        <v>600</v>
      </c>
      <c r="W20" s="5">
        <v>250</v>
      </c>
      <c r="X20" s="5">
        <v>230</v>
      </c>
      <c r="Y20" s="24"/>
      <c r="Z20" s="5"/>
      <c r="AA20" s="5"/>
      <c r="AB20" s="5"/>
      <c r="AC20" s="5"/>
      <c r="AD20" s="6" t="e">
        <f t="shared" si="2"/>
        <v>#DIV/0!</v>
      </c>
      <c r="AE20" s="6" t="e">
        <f t="shared" si="3"/>
        <v>#DIV/0!</v>
      </c>
      <c r="AF20" s="3"/>
    </row>
    <row r="21" spans="2:32" ht="16.5" customHeight="1" x14ac:dyDescent="0.25">
      <c r="B21" s="3" t="s">
        <v>17</v>
      </c>
      <c r="C21" s="2">
        <v>800</v>
      </c>
      <c r="D21" s="2">
        <v>250</v>
      </c>
      <c r="E21" s="2"/>
      <c r="F21" s="24"/>
      <c r="J21" s="24"/>
      <c r="O21" s="1" t="e">
        <f t="shared" si="0"/>
        <v>#DIV/0!</v>
      </c>
      <c r="P21" s="1" t="e">
        <f t="shared" si="1"/>
        <v>#DIV/0!</v>
      </c>
      <c r="Q21" s="24"/>
      <c r="R21" s="2">
        <v>750</v>
      </c>
      <c r="S21" s="2">
        <v>260</v>
      </c>
      <c r="T21" s="2">
        <v>250</v>
      </c>
      <c r="U21" s="24"/>
      <c r="V21" s="2">
        <v>730</v>
      </c>
      <c r="W21" s="2">
        <v>250</v>
      </c>
      <c r="X21" s="2">
        <v>230</v>
      </c>
      <c r="Y21" s="24"/>
      <c r="Z21" s="2"/>
      <c r="AA21" s="2"/>
      <c r="AB21" s="2"/>
      <c r="AC21" s="2"/>
      <c r="AD21" s="1" t="e">
        <f t="shared" si="2"/>
        <v>#DIV/0!</v>
      </c>
      <c r="AE21" s="1" t="e">
        <f t="shared" si="3"/>
        <v>#DIV/0!</v>
      </c>
      <c r="AF21" s="3"/>
    </row>
    <row r="22" spans="2:32" ht="16.5" customHeight="1" x14ac:dyDescent="0.25">
      <c r="B22" s="4" t="s">
        <v>23</v>
      </c>
      <c r="C22" s="5">
        <v>550</v>
      </c>
      <c r="D22" s="5">
        <v>250</v>
      </c>
      <c r="E22" s="5"/>
      <c r="F22" s="24"/>
      <c r="G22" s="6"/>
      <c r="H22" s="6"/>
      <c r="I22" s="6"/>
      <c r="J22" s="24"/>
      <c r="K22" s="6"/>
      <c r="L22" s="6"/>
      <c r="M22" s="6"/>
      <c r="N22" s="6"/>
      <c r="O22" s="6" t="e">
        <f t="shared" si="0"/>
        <v>#DIV/0!</v>
      </c>
      <c r="P22" s="6" t="e">
        <f t="shared" si="1"/>
        <v>#DIV/0!</v>
      </c>
      <c r="Q22" s="24"/>
      <c r="R22" s="5">
        <v>620</v>
      </c>
      <c r="S22" s="5">
        <v>260</v>
      </c>
      <c r="T22" s="5">
        <v>250</v>
      </c>
      <c r="U22" s="24"/>
      <c r="V22" s="5">
        <v>600</v>
      </c>
      <c r="W22" s="5">
        <v>250</v>
      </c>
      <c r="X22" s="5">
        <v>230</v>
      </c>
      <c r="Y22" s="24"/>
      <c r="Z22" s="5"/>
      <c r="AA22" s="5"/>
      <c r="AB22" s="5"/>
      <c r="AC22" s="5"/>
      <c r="AD22" s="6" t="e">
        <f t="shared" si="2"/>
        <v>#DIV/0!</v>
      </c>
      <c r="AE22" s="6" t="e">
        <f t="shared" si="3"/>
        <v>#DIV/0!</v>
      </c>
      <c r="AF22" s="3"/>
    </row>
    <row r="23" spans="2:32" ht="16.5" customHeight="1" thickBot="1" x14ac:dyDescent="0.3">
      <c r="B23" s="8" t="s">
        <v>18</v>
      </c>
      <c r="C23" s="9">
        <v>800</v>
      </c>
      <c r="D23" s="9">
        <v>250</v>
      </c>
      <c r="E23" s="9">
        <v>250</v>
      </c>
      <c r="F23" s="23"/>
      <c r="G23" s="10"/>
      <c r="H23" s="10"/>
      <c r="I23" s="10"/>
      <c r="J23" s="23"/>
      <c r="K23" s="10"/>
      <c r="L23" s="10"/>
      <c r="M23" s="10"/>
      <c r="N23" s="10"/>
      <c r="O23" s="10" t="e">
        <f>(($G23*$H23*$I23))/(($K23*$L23*$M23))</f>
        <v>#DIV/0!</v>
      </c>
      <c r="P23" s="10" t="e">
        <f>$N23*$O23</f>
        <v>#DIV/0!</v>
      </c>
      <c r="Q23" s="23"/>
      <c r="R23" s="9">
        <v>750</v>
      </c>
      <c r="S23" s="9">
        <v>260</v>
      </c>
      <c r="T23" s="9">
        <v>250</v>
      </c>
      <c r="U23" s="23"/>
      <c r="V23" s="9">
        <v>730</v>
      </c>
      <c r="W23" s="9">
        <v>250</v>
      </c>
      <c r="X23" s="9">
        <v>230</v>
      </c>
      <c r="Y23" s="23"/>
      <c r="Z23" s="9"/>
      <c r="AA23" s="9"/>
      <c r="AB23" s="9"/>
      <c r="AC23" s="9"/>
      <c r="AD23" s="10" t="e">
        <f>(($V23*$W23*$X23))/(($Z23*$AA23*$AB23))</f>
        <v>#DIV/0!</v>
      </c>
      <c r="AE23" s="11" t="e">
        <f>$AC23*$AD23</f>
        <v>#DIV/0!</v>
      </c>
      <c r="AF23" s="3"/>
    </row>
    <row r="24" spans="2:32" ht="16.5" customHeight="1" thickTop="1" x14ac:dyDescent="0.25"/>
  </sheetData>
  <mergeCells count="6">
    <mergeCell ref="Z2:AE2"/>
    <mergeCell ref="C2:E2"/>
    <mergeCell ref="G2:I2"/>
    <mergeCell ref="R2:T2"/>
    <mergeCell ref="V2:X2"/>
    <mergeCell ref="K2:P2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2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4" sqref="H4"/>
    </sheetView>
  </sheetViews>
  <sheetFormatPr baseColWidth="10" defaultColWidth="12.85546875" defaultRowHeight="15" x14ac:dyDescent="0.25"/>
  <cols>
    <col min="1" max="1" width="3.140625" style="1" customWidth="1"/>
    <col min="2" max="2" width="17.140625" style="1" bestFit="1" customWidth="1"/>
    <col min="3" max="5" width="14.28515625" style="1" customWidth="1"/>
    <col min="6" max="6" width="3.140625" style="1" customWidth="1"/>
    <col min="7" max="7" width="17.140625" style="1" customWidth="1"/>
    <col min="8" max="8" width="18.5703125" style="1" bestFit="1" customWidth="1"/>
    <col min="9" max="16384" width="12.85546875" style="1"/>
  </cols>
  <sheetData>
    <row r="1" spans="2:9" ht="15.75" thickBot="1" x14ac:dyDescent="0.3"/>
    <row r="2" spans="2:9" ht="33" customHeight="1" thickTop="1" thickBot="1" x14ac:dyDescent="0.3">
      <c r="B2" s="11"/>
      <c r="C2" s="36" t="s">
        <v>27</v>
      </c>
      <c r="D2" s="36"/>
      <c r="E2" s="36"/>
      <c r="F2" s="23"/>
      <c r="G2" s="36" t="s">
        <v>33</v>
      </c>
      <c r="H2" s="37"/>
      <c r="I2" s="22"/>
    </row>
    <row r="3" spans="2:9" ht="16.5" customHeight="1" thickTop="1" x14ac:dyDescent="0.25">
      <c r="B3" s="3" t="s">
        <v>3</v>
      </c>
      <c r="C3" s="1" t="s">
        <v>28</v>
      </c>
      <c r="D3" s="1" t="s">
        <v>29</v>
      </c>
      <c r="E3" s="1" t="s">
        <v>30</v>
      </c>
      <c r="F3" s="24"/>
      <c r="G3" s="1" t="s">
        <v>32</v>
      </c>
      <c r="H3" s="13" t="s">
        <v>37</v>
      </c>
    </row>
    <row r="4" spans="2:9" ht="16.5" customHeight="1" x14ac:dyDescent="0.25">
      <c r="B4" s="17" t="s">
        <v>4</v>
      </c>
      <c r="C4" s="18">
        <v>202.2</v>
      </c>
      <c r="D4" s="18">
        <v>22.1</v>
      </c>
      <c r="E4" s="19">
        <v>316.7</v>
      </c>
      <c r="F4" s="24"/>
      <c r="G4" s="20">
        <f>$C4/($E4-$D4)</f>
        <v>0.68635437881873729</v>
      </c>
      <c r="H4" s="21">
        <f>$C4/('Cubicaje y Peso'!$R4-$D4)</f>
        <v>0.65670672296200061</v>
      </c>
    </row>
    <row r="5" spans="2:9" ht="16.5" customHeight="1" x14ac:dyDescent="0.25">
      <c r="B5" s="3" t="s">
        <v>5</v>
      </c>
      <c r="C5" s="2">
        <v>202.7</v>
      </c>
      <c r="D5" s="2">
        <v>22.1</v>
      </c>
      <c r="E5" s="1">
        <v>317.2</v>
      </c>
      <c r="F5" s="24"/>
      <c r="G5" s="12">
        <f>$C5/($E5-$D5)</f>
        <v>0.6868858014232464</v>
      </c>
      <c r="H5" s="14">
        <f>$C5/('Cubicaje y Peso'!$R5-$D5)</f>
        <v>0.65833062682689181</v>
      </c>
    </row>
    <row r="6" spans="2:9" ht="16.5" customHeight="1" x14ac:dyDescent="0.25">
      <c r="B6" s="17" t="s">
        <v>6</v>
      </c>
      <c r="C6" s="18">
        <v>202.2</v>
      </c>
      <c r="D6" s="18">
        <v>22.1</v>
      </c>
      <c r="E6" s="19">
        <v>316.2</v>
      </c>
      <c r="F6" s="24"/>
      <c r="G6" s="20">
        <f>$C6/($E6-$D6)</f>
        <v>0.68752125127507657</v>
      </c>
      <c r="H6" s="21">
        <f>$C6/('Cubicaje y Peso'!$R6-$D6)</f>
        <v>0.65670672296200061</v>
      </c>
    </row>
    <row r="7" spans="2:9" ht="16.5" customHeight="1" x14ac:dyDescent="0.25">
      <c r="B7" s="3" t="s">
        <v>7</v>
      </c>
      <c r="C7" s="2">
        <v>289.2</v>
      </c>
      <c r="D7" s="2">
        <v>22.1</v>
      </c>
      <c r="E7" s="1">
        <v>445.7</v>
      </c>
      <c r="F7" s="24"/>
      <c r="G7" s="12">
        <f t="shared" ref="G7:G22" si="0">$C7/($E7-$D7)</f>
        <v>0.68271954674220969</v>
      </c>
      <c r="H7" s="14">
        <f>$C7/('Cubicaje y Peso'!$R7-$D7)</f>
        <v>0.67585884552465525</v>
      </c>
    </row>
    <row r="8" spans="2:9" ht="16.5" customHeight="1" x14ac:dyDescent="0.25">
      <c r="B8" s="17" t="s">
        <v>19</v>
      </c>
      <c r="C8" s="18">
        <v>219.2</v>
      </c>
      <c r="D8" s="18">
        <v>16.600000000000001</v>
      </c>
      <c r="E8" s="19">
        <v>329.2</v>
      </c>
      <c r="F8" s="24"/>
      <c r="G8" s="20">
        <f t="shared" si="0"/>
        <v>0.7012156110044786</v>
      </c>
      <c r="H8" s="21">
        <f>$C8/('Cubicaje y Peso'!$R8-$D8)</f>
        <v>0.60319207484865167</v>
      </c>
    </row>
    <row r="9" spans="2:9" ht="16.5" customHeight="1" x14ac:dyDescent="0.25">
      <c r="B9" s="3" t="s">
        <v>8</v>
      </c>
      <c r="C9" s="2">
        <v>279.2</v>
      </c>
      <c r="D9" s="2">
        <v>16.600000000000001</v>
      </c>
      <c r="E9" s="1">
        <v>389.2</v>
      </c>
      <c r="F9" s="24"/>
      <c r="G9" s="12">
        <f t="shared" si="0"/>
        <v>0.74932903918411164</v>
      </c>
      <c r="H9" s="14">
        <f>$C9/('Cubicaje y Peso'!$R9-$D9)</f>
        <v>0.62967974740640509</v>
      </c>
    </row>
    <row r="10" spans="2:9" ht="16.5" customHeight="1" x14ac:dyDescent="0.25">
      <c r="B10" s="17" t="s">
        <v>9</v>
      </c>
      <c r="C10" s="18">
        <v>324.2</v>
      </c>
      <c r="D10" s="18">
        <v>16.600000000000001</v>
      </c>
      <c r="E10" s="19">
        <v>434.2</v>
      </c>
      <c r="F10" s="24"/>
      <c r="G10" s="20">
        <f t="shared" si="0"/>
        <v>0.77634099616858243</v>
      </c>
      <c r="H10" s="21">
        <f>$C10/('Cubicaje y Peso'!$R10-$D10)</f>
        <v>0.67066611501861817</v>
      </c>
    </row>
    <row r="11" spans="2:9" ht="16.5" customHeight="1" x14ac:dyDescent="0.25">
      <c r="B11" s="3" t="s">
        <v>20</v>
      </c>
      <c r="C11" s="2">
        <v>219.2</v>
      </c>
      <c r="D11" s="2">
        <v>16.600000000000001</v>
      </c>
      <c r="E11" s="1">
        <v>329.2</v>
      </c>
      <c r="F11" s="24"/>
      <c r="G11" s="12">
        <f t="shared" si="0"/>
        <v>0.7012156110044786</v>
      </c>
      <c r="H11" s="14">
        <f>$C11/('Cubicaje y Peso'!$R11-$D11)</f>
        <v>0.60319207484865167</v>
      </c>
    </row>
    <row r="12" spans="2:9" ht="16.5" customHeight="1" x14ac:dyDescent="0.25">
      <c r="B12" s="17" t="s">
        <v>11</v>
      </c>
      <c r="C12" s="18">
        <v>279.2</v>
      </c>
      <c r="D12" s="18">
        <v>16.600000000000001</v>
      </c>
      <c r="E12" s="19">
        <v>389.2</v>
      </c>
      <c r="F12" s="24"/>
      <c r="G12" s="20">
        <f t="shared" si="0"/>
        <v>0.74932903918411164</v>
      </c>
      <c r="H12" s="21">
        <f>$C12/('Cubicaje y Peso'!$R12-$D12)</f>
        <v>0.62967974740640509</v>
      </c>
    </row>
    <row r="13" spans="2:9" ht="16.5" customHeight="1" x14ac:dyDescent="0.25">
      <c r="B13" s="3" t="s">
        <v>10</v>
      </c>
      <c r="C13" s="2">
        <v>324.2</v>
      </c>
      <c r="D13" s="2">
        <v>16.600000000000001</v>
      </c>
      <c r="E13" s="1">
        <v>434.2</v>
      </c>
      <c r="F13" s="24"/>
      <c r="G13" s="12">
        <f t="shared" si="0"/>
        <v>0.77634099616858243</v>
      </c>
      <c r="H13" s="14">
        <f>$C13/('Cubicaje y Peso'!$R13-$D13)</f>
        <v>0.67066611501861817</v>
      </c>
    </row>
    <row r="14" spans="2:9" ht="16.5" customHeight="1" x14ac:dyDescent="0.25">
      <c r="B14" s="17" t="s">
        <v>12</v>
      </c>
      <c r="C14" s="18">
        <v>390.2</v>
      </c>
      <c r="D14" s="18">
        <v>16.600000000000001</v>
      </c>
      <c r="E14" s="19">
        <v>500.2</v>
      </c>
      <c r="F14" s="24"/>
      <c r="G14" s="20">
        <f t="shared" si="0"/>
        <v>0.80686517783291978</v>
      </c>
      <c r="H14" s="21">
        <f>$C14/('Cubicaje y Peso'!$R14-$D14)</f>
        <v>0.66883784710318817</v>
      </c>
    </row>
    <row r="15" spans="2:9" ht="16.5" customHeight="1" x14ac:dyDescent="0.25">
      <c r="B15" s="3" t="s">
        <v>14</v>
      </c>
      <c r="C15" s="2">
        <v>279.2</v>
      </c>
      <c r="D15" s="2">
        <v>16.600000000000001</v>
      </c>
      <c r="E15" s="1">
        <v>389.2</v>
      </c>
      <c r="F15" s="24"/>
      <c r="G15" s="12">
        <f t="shared" si="0"/>
        <v>0.74932903918411164</v>
      </c>
      <c r="H15" s="14">
        <f>$C15/('Cubicaje y Peso'!$R15-$D15)</f>
        <v>0.60250323694432462</v>
      </c>
    </row>
    <row r="16" spans="2:9" ht="16.5" customHeight="1" x14ac:dyDescent="0.25">
      <c r="B16" s="17" t="s">
        <v>13</v>
      </c>
      <c r="C16" s="18">
        <v>324.2</v>
      </c>
      <c r="D16" s="18">
        <v>16.600000000000001</v>
      </c>
      <c r="E16" s="19">
        <v>434.2</v>
      </c>
      <c r="F16" s="24"/>
      <c r="G16" s="20">
        <f t="shared" si="0"/>
        <v>0.77634099616858243</v>
      </c>
      <c r="H16" s="21">
        <f>$C16/('Cubicaje y Peso'!$R16-$D16)</f>
        <v>0.67066611501861817</v>
      </c>
    </row>
    <row r="17" spans="2:8" ht="16.5" customHeight="1" x14ac:dyDescent="0.25">
      <c r="B17" s="3" t="s">
        <v>15</v>
      </c>
      <c r="C17" s="2">
        <v>390.2</v>
      </c>
      <c r="D17" s="2">
        <v>16.600000000000001</v>
      </c>
      <c r="E17" s="1">
        <v>500.2</v>
      </c>
      <c r="F17" s="24"/>
      <c r="G17" s="12">
        <f t="shared" si="0"/>
        <v>0.80686517783291978</v>
      </c>
      <c r="H17" s="14">
        <f>$C17/('Cubicaje y Peso'!$R17-$D17)</f>
        <v>0.66883784710318817</v>
      </c>
    </row>
    <row r="18" spans="2:8" ht="16.5" customHeight="1" x14ac:dyDescent="0.25">
      <c r="B18" s="17" t="s">
        <v>21</v>
      </c>
      <c r="C18" s="18">
        <v>346.4</v>
      </c>
      <c r="D18" s="18">
        <v>10.7</v>
      </c>
      <c r="E18" s="19">
        <v>518.9</v>
      </c>
      <c r="F18" s="24"/>
      <c r="G18" s="20">
        <f t="shared" si="0"/>
        <v>0.68162140889413614</v>
      </c>
      <c r="H18" s="21">
        <f>$C18/('Cubicaje y Peso'!$R18-$D18)</f>
        <v>0.64231411088447987</v>
      </c>
    </row>
    <row r="19" spans="2:8" ht="16.5" customHeight="1" x14ac:dyDescent="0.25">
      <c r="B19" s="3" t="s">
        <v>22</v>
      </c>
      <c r="C19" s="2">
        <v>396.4</v>
      </c>
      <c r="D19" s="2">
        <v>10.7</v>
      </c>
      <c r="E19" s="1">
        <v>608.9</v>
      </c>
      <c r="F19" s="24"/>
      <c r="G19" s="12">
        <f t="shared" si="0"/>
        <v>0.66265463055834173</v>
      </c>
      <c r="H19" s="14">
        <f>$C19/('Cubicaje y Peso'!$R19-$D19)</f>
        <v>0.62005318316909119</v>
      </c>
    </row>
    <row r="20" spans="2:8" ht="16.5" customHeight="1" x14ac:dyDescent="0.25">
      <c r="B20" s="17" t="s">
        <v>16</v>
      </c>
      <c r="C20" s="18">
        <v>362.4</v>
      </c>
      <c r="D20" s="18">
        <v>10.7</v>
      </c>
      <c r="E20" s="19">
        <v>533.9</v>
      </c>
      <c r="F20" s="24"/>
      <c r="G20" s="20">
        <f t="shared" si="0"/>
        <v>0.69266055045871566</v>
      </c>
      <c r="H20" s="21">
        <f>$C20/('Cubicaje y Peso'!$R20-$D20)</f>
        <v>0.5947808961102905</v>
      </c>
    </row>
    <row r="21" spans="2:8" ht="16.5" customHeight="1" x14ac:dyDescent="0.25">
      <c r="B21" s="3" t="s">
        <v>17</v>
      </c>
      <c r="C21" s="2">
        <v>492.4</v>
      </c>
      <c r="D21" s="2">
        <v>10.7</v>
      </c>
      <c r="E21" s="1">
        <v>718.9</v>
      </c>
      <c r="F21" s="24"/>
      <c r="G21" s="12">
        <f t="shared" si="0"/>
        <v>0.69528381813047169</v>
      </c>
      <c r="H21" s="14">
        <f>$C21/('Cubicaje y Peso'!$R21-$D21)</f>
        <v>0.66603543892871642</v>
      </c>
    </row>
    <row r="22" spans="2:8" ht="16.5" customHeight="1" x14ac:dyDescent="0.25">
      <c r="B22" s="17" t="s">
        <v>23</v>
      </c>
      <c r="C22" s="18">
        <v>327.39999999999998</v>
      </c>
      <c r="D22" s="18">
        <v>10.7</v>
      </c>
      <c r="E22" s="19">
        <v>468.9</v>
      </c>
      <c r="F22" s="24"/>
      <c r="G22" s="20">
        <f t="shared" si="0"/>
        <v>0.71453513749454378</v>
      </c>
      <c r="H22" s="21">
        <f>$C22/('Cubicaje y Peso'!$R22-$D22)</f>
        <v>0.53733792877072051</v>
      </c>
    </row>
    <row r="23" spans="2:8" ht="16.5" customHeight="1" thickBot="1" x14ac:dyDescent="0.3">
      <c r="B23" s="8" t="s">
        <v>18</v>
      </c>
      <c r="C23" s="9">
        <v>492.4</v>
      </c>
      <c r="D23" s="9">
        <v>10.7</v>
      </c>
      <c r="E23" s="10">
        <v>718.9</v>
      </c>
      <c r="F23" s="23"/>
      <c r="G23" s="15">
        <f>$C23/($E23-$D23)</f>
        <v>0.69528381813047169</v>
      </c>
      <c r="H23" s="16">
        <f>$C23/('Cubicaje y Peso'!$R23-$D23)</f>
        <v>0.66603543892871642</v>
      </c>
    </row>
    <row r="24" spans="2:8" ht="15.75" thickTop="1" x14ac:dyDescent="0.25"/>
  </sheetData>
  <mergeCells count="2">
    <mergeCell ref="C2:E2"/>
    <mergeCell ref="G2:H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2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baseColWidth="10" defaultColWidth="12.85546875" defaultRowHeight="16.5" customHeight="1" x14ac:dyDescent="0.25"/>
  <cols>
    <col min="1" max="1" width="3.140625" style="1" customWidth="1"/>
    <col min="2" max="2" width="17.140625" style="1" bestFit="1" customWidth="1"/>
    <col min="3" max="13" width="22.28515625" style="1" customWidth="1"/>
    <col min="14" max="14" width="25.85546875" style="1" bestFit="1" customWidth="1"/>
    <col min="15" max="15" width="27.5703125" style="1" bestFit="1" customWidth="1"/>
    <col min="16" max="16" width="52.85546875" style="1" bestFit="1" customWidth="1"/>
    <col min="17" max="16384" width="12.85546875" style="1"/>
  </cols>
  <sheetData>
    <row r="1" spans="2:16" ht="16.5" customHeight="1" thickBot="1" x14ac:dyDescent="0.3"/>
    <row r="2" spans="2:16" ht="64.5" thickTop="1" thickBot="1" x14ac:dyDescent="0.3">
      <c r="B2" s="11"/>
      <c r="C2" s="28" t="s">
        <v>34</v>
      </c>
      <c r="D2" s="28" t="s">
        <v>43</v>
      </c>
      <c r="E2" s="28" t="s">
        <v>44</v>
      </c>
      <c r="F2" s="28" t="s">
        <v>45</v>
      </c>
      <c r="G2" s="28" t="s">
        <v>46</v>
      </c>
      <c r="H2" s="28" t="s">
        <v>47</v>
      </c>
      <c r="I2" s="28" t="s">
        <v>48</v>
      </c>
      <c r="J2" s="28" t="s">
        <v>40</v>
      </c>
      <c r="K2" s="28" t="s">
        <v>42</v>
      </c>
      <c r="L2" s="28" t="s">
        <v>49</v>
      </c>
      <c r="M2" s="28" t="s">
        <v>50</v>
      </c>
      <c r="N2" s="28" t="s">
        <v>38</v>
      </c>
      <c r="O2" s="28" t="s">
        <v>57</v>
      </c>
      <c r="P2" s="29" t="s">
        <v>62</v>
      </c>
    </row>
    <row r="3" spans="2:16" ht="30.75" thickTop="1" x14ac:dyDescent="0.25">
      <c r="B3" s="3" t="s">
        <v>3</v>
      </c>
      <c r="C3" s="1" t="s">
        <v>35</v>
      </c>
      <c r="D3" s="1" t="s">
        <v>36</v>
      </c>
      <c r="E3" s="1" t="str">
        <f>$D$3</f>
        <v>Kilómetros</v>
      </c>
      <c r="F3" s="1" t="str">
        <f>$D$3</f>
        <v>Kilómetros</v>
      </c>
      <c r="G3" s="1" t="s">
        <v>53</v>
      </c>
      <c r="H3" s="30" t="s">
        <v>54</v>
      </c>
      <c r="I3" s="1" t="s">
        <v>55</v>
      </c>
      <c r="J3" s="1" t="s">
        <v>41</v>
      </c>
      <c r="K3" s="1" t="s">
        <v>39</v>
      </c>
      <c r="L3" s="1" t="s">
        <v>51</v>
      </c>
      <c r="M3" s="1" t="s">
        <v>52</v>
      </c>
      <c r="N3" s="30" t="s">
        <v>56</v>
      </c>
      <c r="O3" s="1" t="s">
        <v>68</v>
      </c>
      <c r="P3" s="31" t="s">
        <v>61</v>
      </c>
    </row>
    <row r="4" spans="2:16" ht="16.5" customHeight="1" x14ac:dyDescent="0.25">
      <c r="B4" s="25" t="s">
        <v>4</v>
      </c>
      <c r="C4" s="26">
        <v>75</v>
      </c>
      <c r="D4" s="26">
        <v>9</v>
      </c>
      <c r="E4" s="26">
        <v>10</v>
      </c>
      <c r="F4" s="26">
        <v>11</v>
      </c>
      <c r="G4" s="26">
        <f>$C4*$D4</f>
        <v>675</v>
      </c>
      <c r="H4" s="26">
        <f>$C4*$E4</f>
        <v>750</v>
      </c>
      <c r="I4" s="26">
        <f>$C4*$F4</f>
        <v>825</v>
      </c>
      <c r="J4" s="26">
        <v>122</v>
      </c>
      <c r="K4" s="26">
        <v>262</v>
      </c>
      <c r="L4" s="26">
        <v>5.3150000000000004</v>
      </c>
      <c r="M4" s="26">
        <v>4.7770000000000001</v>
      </c>
      <c r="N4" s="32">
        <f>$K4*$L4*$M4</f>
        <v>6652.1158100000011</v>
      </c>
      <c r="O4" s="26" t="s">
        <v>58</v>
      </c>
      <c r="P4" s="27" t="s">
        <v>63</v>
      </c>
    </row>
    <row r="5" spans="2:16" ht="16.5" customHeight="1" x14ac:dyDescent="0.25">
      <c r="B5" s="3" t="s">
        <v>5</v>
      </c>
      <c r="C5" s="1">
        <v>75</v>
      </c>
      <c r="D5" s="1">
        <v>8.5</v>
      </c>
      <c r="E5" s="1">
        <v>9</v>
      </c>
      <c r="F5" s="1">
        <v>9.5</v>
      </c>
      <c r="G5" s="1">
        <f>$C5*$D5</f>
        <v>637.5</v>
      </c>
      <c r="H5" s="1">
        <f>$C5*$E5</f>
        <v>675</v>
      </c>
      <c r="I5" s="1">
        <f>$C5*$F5</f>
        <v>712.5</v>
      </c>
      <c r="J5" s="1">
        <f>$J$4</f>
        <v>122</v>
      </c>
      <c r="K5" s="1">
        <f>$K$4</f>
        <v>262</v>
      </c>
      <c r="L5" s="1">
        <f>$L$4</f>
        <v>5.3150000000000004</v>
      </c>
      <c r="M5" s="1">
        <v>5.375</v>
      </c>
      <c r="N5" s="2">
        <f>$K5*$L5*$M5</f>
        <v>7484.848750000001</v>
      </c>
      <c r="O5" s="1" t="str">
        <f>$O$4</f>
        <v>4C en L 3 Litros</v>
      </c>
      <c r="P5" s="13" t="s">
        <v>64</v>
      </c>
    </row>
    <row r="6" spans="2:16" ht="16.5" customHeight="1" x14ac:dyDescent="0.25">
      <c r="B6" s="25" t="s">
        <v>6</v>
      </c>
      <c r="C6" s="26">
        <v>75</v>
      </c>
      <c r="D6" s="26">
        <v>7.5</v>
      </c>
      <c r="E6" s="26">
        <v>8</v>
      </c>
      <c r="F6" s="26">
        <v>8.5</v>
      </c>
      <c r="G6" s="26">
        <f>$C6*$D6</f>
        <v>562.5</v>
      </c>
      <c r="H6" s="26">
        <f>$C6*$E6</f>
        <v>600</v>
      </c>
      <c r="I6" s="26">
        <f>$C6*$F6</f>
        <v>637.5</v>
      </c>
      <c r="J6" s="26">
        <f>$J$4</f>
        <v>122</v>
      </c>
      <c r="K6" s="26">
        <f>$K$4</f>
        <v>262</v>
      </c>
      <c r="L6" s="26">
        <f>$L$4</f>
        <v>5.3150000000000004</v>
      </c>
      <c r="M6" s="26">
        <f>$M$5</f>
        <v>5.375</v>
      </c>
      <c r="N6" s="32">
        <f>$K6*$L6*$M6</f>
        <v>7484.848750000001</v>
      </c>
      <c r="O6" s="26" t="str">
        <f>$O$4</f>
        <v>4C en L 3 Litros</v>
      </c>
      <c r="P6" s="27" t="str">
        <f>$P$5</f>
        <v>Disco/Tambor - Hidráulico - R16</v>
      </c>
    </row>
    <row r="7" spans="2:16" ht="16.5" customHeight="1" x14ac:dyDescent="0.25">
      <c r="B7" s="3" t="s">
        <v>7</v>
      </c>
      <c r="C7" s="1">
        <v>100</v>
      </c>
      <c r="D7" s="1">
        <f>$D$6</f>
        <v>7.5</v>
      </c>
      <c r="E7" s="1">
        <f>$E$6</f>
        <v>8</v>
      </c>
      <c r="F7" s="1">
        <f>$F$6</f>
        <v>8.5</v>
      </c>
      <c r="G7" s="1">
        <f t="shared" ref="G7:G22" si="0">$C7*$D7</f>
        <v>750</v>
      </c>
      <c r="H7" s="1">
        <f>$C7*$E7</f>
        <v>800</v>
      </c>
      <c r="I7" s="1">
        <f>$C7*$F7</f>
        <v>850</v>
      </c>
      <c r="J7" s="1">
        <f>$J$4</f>
        <v>122</v>
      </c>
      <c r="K7" s="1">
        <f>$K$4</f>
        <v>262</v>
      </c>
      <c r="L7" s="1">
        <f>$L$4</f>
        <v>5.3150000000000004</v>
      </c>
      <c r="M7" s="1">
        <f>$M$5</f>
        <v>5.375</v>
      </c>
      <c r="N7" s="2">
        <f>$K7*$L7*$M7</f>
        <v>7484.848750000001</v>
      </c>
      <c r="O7" s="1" t="str">
        <f>$O$4</f>
        <v>4C en L 3 Litros</v>
      </c>
      <c r="P7" s="13" t="str">
        <f>$P$5</f>
        <v>Disco/Tambor - Hidráulico - R16</v>
      </c>
    </row>
    <row r="8" spans="2:16" ht="16.5" customHeight="1" x14ac:dyDescent="0.25">
      <c r="B8" s="25" t="s">
        <v>19</v>
      </c>
      <c r="C8" s="26">
        <v>140</v>
      </c>
      <c r="D8" s="26">
        <v>6.5</v>
      </c>
      <c r="E8" s="26">
        <v>7</v>
      </c>
      <c r="F8" s="26">
        <v>7.5</v>
      </c>
      <c r="G8" s="26">
        <f t="shared" si="0"/>
        <v>910</v>
      </c>
      <c r="H8" s="26">
        <f t="shared" ref="H8:H22" si="1">$C8*$E8</f>
        <v>980</v>
      </c>
      <c r="I8" s="26">
        <f t="shared" ref="I8:I22" si="2">$C8*$F8</f>
        <v>1050</v>
      </c>
      <c r="J8" s="26">
        <v>172</v>
      </c>
      <c r="K8" s="26">
        <v>376</v>
      </c>
      <c r="L8" s="26">
        <v>6.3689999999999998</v>
      </c>
      <c r="M8" s="26">
        <v>4.3</v>
      </c>
      <c r="N8" s="32">
        <f>$K8*$L8*$M8</f>
        <v>10297.399199999998</v>
      </c>
      <c r="O8" s="26" t="s">
        <v>59</v>
      </c>
      <c r="P8" s="27" t="str">
        <f>$P$5</f>
        <v>Disco/Tambor - Hidráulico - R16</v>
      </c>
    </row>
    <row r="9" spans="2:16" ht="16.5" customHeight="1" x14ac:dyDescent="0.25">
      <c r="B9" s="3" t="s">
        <v>8</v>
      </c>
      <c r="C9" s="1">
        <v>140</v>
      </c>
      <c r="D9" s="1">
        <f>$D$8</f>
        <v>6.5</v>
      </c>
      <c r="E9" s="1">
        <f>$E$8</f>
        <v>7</v>
      </c>
      <c r="F9" s="1">
        <f>$F$8</f>
        <v>7.5</v>
      </c>
      <c r="G9" s="1">
        <f t="shared" si="0"/>
        <v>910</v>
      </c>
      <c r="H9" s="1">
        <f t="shared" si="1"/>
        <v>980</v>
      </c>
      <c r="I9" s="1">
        <f t="shared" si="2"/>
        <v>1050</v>
      </c>
      <c r="J9" s="1">
        <f t="shared" ref="J9:J17" si="3">$J$8</f>
        <v>172</v>
      </c>
      <c r="K9" s="1">
        <f t="shared" ref="K9:K17" si="4">$K$8</f>
        <v>376</v>
      </c>
      <c r="L9" s="1">
        <f t="shared" ref="L9:L17" si="5">$L$8</f>
        <v>6.3689999999999998</v>
      </c>
      <c r="M9" s="1">
        <f>$M$8</f>
        <v>4.3</v>
      </c>
      <c r="N9" s="2">
        <f t="shared" ref="N9:N21" si="6">$K9*$L9*$M9</f>
        <v>10297.399199999998</v>
      </c>
      <c r="O9" s="1" t="str">
        <f t="shared" ref="O9:O17" si="7">$O$8</f>
        <v>4C en L 5.2 Litros</v>
      </c>
      <c r="P9" s="13" t="str">
        <f>$P$5</f>
        <v>Disco/Tambor - Hidráulico - R16</v>
      </c>
    </row>
    <row r="10" spans="2:16" ht="16.5" customHeight="1" x14ac:dyDescent="0.25">
      <c r="B10" s="25" t="s">
        <v>9</v>
      </c>
      <c r="C10" s="26">
        <v>140</v>
      </c>
      <c r="D10" s="26">
        <f>$D$8</f>
        <v>6.5</v>
      </c>
      <c r="E10" s="26">
        <f>$E$8</f>
        <v>7</v>
      </c>
      <c r="F10" s="26">
        <f>$F$8</f>
        <v>7.5</v>
      </c>
      <c r="G10" s="26">
        <f t="shared" si="0"/>
        <v>910</v>
      </c>
      <c r="H10" s="26">
        <f t="shared" si="1"/>
        <v>980</v>
      </c>
      <c r="I10" s="26">
        <f t="shared" si="2"/>
        <v>1050</v>
      </c>
      <c r="J10" s="26">
        <f t="shared" si="3"/>
        <v>172</v>
      </c>
      <c r="K10" s="26">
        <f t="shared" si="4"/>
        <v>376</v>
      </c>
      <c r="L10" s="26">
        <f t="shared" si="5"/>
        <v>6.3689999999999998</v>
      </c>
      <c r="M10" s="26">
        <f>$M$8</f>
        <v>4.3</v>
      </c>
      <c r="N10" s="32">
        <f t="shared" si="6"/>
        <v>10297.399199999998</v>
      </c>
      <c r="O10" s="26" t="str">
        <f t="shared" si="7"/>
        <v>4C en L 5.2 Litros</v>
      </c>
      <c r="P10" s="27" t="str">
        <f>$P$5</f>
        <v>Disco/Tambor - Hidráulico - R16</v>
      </c>
    </row>
    <row r="11" spans="2:16" ht="16.5" customHeight="1" x14ac:dyDescent="0.25">
      <c r="B11" s="3" t="s">
        <v>20</v>
      </c>
      <c r="C11" s="1">
        <v>140</v>
      </c>
      <c r="D11" s="1">
        <v>5.5</v>
      </c>
      <c r="E11" s="1">
        <v>6</v>
      </c>
      <c r="F11" s="1">
        <v>6.5</v>
      </c>
      <c r="G11" s="1">
        <f>$C11*$D11</f>
        <v>770</v>
      </c>
      <c r="H11" s="1">
        <f t="shared" si="1"/>
        <v>840</v>
      </c>
      <c r="I11" s="1">
        <f t="shared" si="2"/>
        <v>910</v>
      </c>
      <c r="J11" s="1">
        <f t="shared" si="3"/>
        <v>172</v>
      </c>
      <c r="K11" s="1">
        <f t="shared" si="4"/>
        <v>376</v>
      </c>
      <c r="L11" s="1">
        <f t="shared" si="5"/>
        <v>6.3689999999999998</v>
      </c>
      <c r="M11" s="1">
        <v>4.556</v>
      </c>
      <c r="N11" s="2">
        <f t="shared" si="6"/>
        <v>10910.453663999999</v>
      </c>
      <c r="O11" s="1" t="str">
        <f t="shared" si="7"/>
        <v>4C en L 5.2 Litros</v>
      </c>
      <c r="P11" s="13" t="s">
        <v>65</v>
      </c>
    </row>
    <row r="12" spans="2:16" ht="16.5" customHeight="1" x14ac:dyDescent="0.25">
      <c r="B12" s="25" t="s">
        <v>11</v>
      </c>
      <c r="C12" s="26">
        <v>140</v>
      </c>
      <c r="D12" s="26">
        <f>$D$11</f>
        <v>5.5</v>
      </c>
      <c r="E12" s="26">
        <f>$E$11</f>
        <v>6</v>
      </c>
      <c r="F12" s="26">
        <f>$F$11</f>
        <v>6.5</v>
      </c>
      <c r="G12" s="26">
        <f t="shared" si="0"/>
        <v>770</v>
      </c>
      <c r="H12" s="26">
        <f t="shared" si="1"/>
        <v>840</v>
      </c>
      <c r="I12" s="26">
        <f t="shared" si="2"/>
        <v>910</v>
      </c>
      <c r="J12" s="26">
        <f t="shared" si="3"/>
        <v>172</v>
      </c>
      <c r="K12" s="26">
        <f t="shared" si="4"/>
        <v>376</v>
      </c>
      <c r="L12" s="26">
        <f t="shared" si="5"/>
        <v>6.3689999999999998</v>
      </c>
      <c r="M12" s="26">
        <f t="shared" ref="M12:M17" si="8">$M$11</f>
        <v>4.556</v>
      </c>
      <c r="N12" s="32">
        <f t="shared" si="6"/>
        <v>10910.453663999999</v>
      </c>
      <c r="O12" s="26" t="str">
        <f t="shared" si="7"/>
        <v>4C en L 5.2 Litros</v>
      </c>
      <c r="P12" s="27" t="str">
        <f t="shared" ref="P12:P17" si="9">$P$11</f>
        <v>Disco/Tambor - Booster Hidráulico - R19.5</v>
      </c>
    </row>
    <row r="13" spans="2:16" ht="16.5" customHeight="1" x14ac:dyDescent="0.25">
      <c r="B13" s="3" t="s">
        <v>10</v>
      </c>
      <c r="C13" s="1">
        <v>140</v>
      </c>
      <c r="D13" s="1">
        <f>$D$11</f>
        <v>5.5</v>
      </c>
      <c r="E13" s="1">
        <f>$E$11</f>
        <v>6</v>
      </c>
      <c r="F13" s="1">
        <f>$F$11</f>
        <v>6.5</v>
      </c>
      <c r="G13" s="1">
        <f t="shared" si="0"/>
        <v>770</v>
      </c>
      <c r="H13" s="1">
        <f t="shared" si="1"/>
        <v>840</v>
      </c>
      <c r="I13" s="1">
        <f t="shared" si="2"/>
        <v>910</v>
      </c>
      <c r="J13" s="1">
        <f t="shared" si="3"/>
        <v>172</v>
      </c>
      <c r="K13" s="1">
        <f t="shared" si="4"/>
        <v>376</v>
      </c>
      <c r="L13" s="1">
        <f t="shared" si="5"/>
        <v>6.3689999999999998</v>
      </c>
      <c r="M13" s="1">
        <f t="shared" si="8"/>
        <v>4.556</v>
      </c>
      <c r="N13" s="2">
        <f t="shared" si="6"/>
        <v>10910.453663999999</v>
      </c>
      <c r="O13" s="1" t="str">
        <f t="shared" si="7"/>
        <v>4C en L 5.2 Litros</v>
      </c>
      <c r="P13" s="13" t="str">
        <f t="shared" si="9"/>
        <v>Disco/Tambor - Booster Hidráulico - R19.5</v>
      </c>
    </row>
    <row r="14" spans="2:16" ht="16.5" customHeight="1" x14ac:dyDescent="0.25">
      <c r="B14" s="25" t="s">
        <v>12</v>
      </c>
      <c r="C14" s="26">
        <v>140</v>
      </c>
      <c r="D14" s="26">
        <f>$D$11</f>
        <v>5.5</v>
      </c>
      <c r="E14" s="26">
        <f>$E$11</f>
        <v>6</v>
      </c>
      <c r="F14" s="26">
        <f>$F$11</f>
        <v>6.5</v>
      </c>
      <c r="G14" s="26">
        <f t="shared" si="0"/>
        <v>770</v>
      </c>
      <c r="H14" s="26">
        <f t="shared" si="1"/>
        <v>840</v>
      </c>
      <c r="I14" s="26">
        <f t="shared" si="2"/>
        <v>910</v>
      </c>
      <c r="J14" s="26">
        <f t="shared" si="3"/>
        <v>172</v>
      </c>
      <c r="K14" s="26">
        <f t="shared" si="4"/>
        <v>376</v>
      </c>
      <c r="L14" s="26">
        <f t="shared" si="5"/>
        <v>6.3689999999999998</v>
      </c>
      <c r="M14" s="26">
        <f t="shared" si="8"/>
        <v>4.556</v>
      </c>
      <c r="N14" s="32">
        <f t="shared" si="6"/>
        <v>10910.453663999999</v>
      </c>
      <c r="O14" s="26" t="str">
        <f t="shared" si="7"/>
        <v>4C en L 5.2 Litros</v>
      </c>
      <c r="P14" s="27" t="str">
        <f t="shared" si="9"/>
        <v>Disco/Tambor - Booster Hidráulico - R19.5</v>
      </c>
    </row>
    <row r="15" spans="2:16" ht="16.5" customHeight="1" x14ac:dyDescent="0.25">
      <c r="B15" s="3" t="s">
        <v>14</v>
      </c>
      <c r="C15" s="1">
        <v>140</v>
      </c>
      <c r="D15" s="1">
        <v>5</v>
      </c>
      <c r="E15" s="1">
        <v>5.5</v>
      </c>
      <c r="F15" s="1">
        <v>6</v>
      </c>
      <c r="G15" s="1">
        <f t="shared" si="0"/>
        <v>700</v>
      </c>
      <c r="H15" s="1">
        <f t="shared" si="1"/>
        <v>770</v>
      </c>
      <c r="I15" s="1">
        <f t="shared" si="2"/>
        <v>840</v>
      </c>
      <c r="J15" s="1">
        <f t="shared" si="3"/>
        <v>172</v>
      </c>
      <c r="K15" s="1">
        <f t="shared" si="4"/>
        <v>376</v>
      </c>
      <c r="L15" s="1">
        <f t="shared" si="5"/>
        <v>6.3689999999999998</v>
      </c>
      <c r="M15" s="1">
        <f t="shared" si="8"/>
        <v>4.556</v>
      </c>
      <c r="N15" s="2">
        <f t="shared" si="6"/>
        <v>10910.453663999999</v>
      </c>
      <c r="O15" s="1" t="str">
        <f t="shared" si="7"/>
        <v>4C en L 5.2 Litros</v>
      </c>
      <c r="P15" s="13" t="str">
        <f t="shared" si="9"/>
        <v>Disco/Tambor - Booster Hidráulico - R19.5</v>
      </c>
    </row>
    <row r="16" spans="2:16" ht="16.5" customHeight="1" x14ac:dyDescent="0.25">
      <c r="B16" s="25" t="s">
        <v>13</v>
      </c>
      <c r="C16" s="26">
        <v>140</v>
      </c>
      <c r="D16" s="26">
        <f>$D$15</f>
        <v>5</v>
      </c>
      <c r="E16" s="26">
        <f>$E$15</f>
        <v>5.5</v>
      </c>
      <c r="F16" s="26">
        <f>$F$15</f>
        <v>6</v>
      </c>
      <c r="G16" s="26">
        <f t="shared" si="0"/>
        <v>700</v>
      </c>
      <c r="H16" s="26">
        <f t="shared" si="1"/>
        <v>770</v>
      </c>
      <c r="I16" s="26">
        <f t="shared" si="2"/>
        <v>840</v>
      </c>
      <c r="J16" s="26">
        <f t="shared" si="3"/>
        <v>172</v>
      </c>
      <c r="K16" s="26">
        <f t="shared" si="4"/>
        <v>376</v>
      </c>
      <c r="L16" s="26">
        <f t="shared" si="5"/>
        <v>6.3689999999999998</v>
      </c>
      <c r="M16" s="26">
        <f t="shared" si="8"/>
        <v>4.556</v>
      </c>
      <c r="N16" s="32">
        <f t="shared" si="6"/>
        <v>10910.453663999999</v>
      </c>
      <c r="O16" s="26" t="str">
        <f t="shared" si="7"/>
        <v>4C en L 5.2 Litros</v>
      </c>
      <c r="P16" s="27" t="str">
        <f t="shared" si="9"/>
        <v>Disco/Tambor - Booster Hidráulico - R19.5</v>
      </c>
    </row>
    <row r="17" spans="2:16" ht="16.5" customHeight="1" x14ac:dyDescent="0.25">
      <c r="B17" s="3" t="s">
        <v>15</v>
      </c>
      <c r="C17" s="1">
        <v>140</v>
      </c>
      <c r="D17" s="1">
        <f>$D$15</f>
        <v>5</v>
      </c>
      <c r="E17" s="1">
        <f>$E$15</f>
        <v>5.5</v>
      </c>
      <c r="F17" s="1">
        <f>$F$15</f>
        <v>6</v>
      </c>
      <c r="G17" s="1">
        <f t="shared" si="0"/>
        <v>700</v>
      </c>
      <c r="H17" s="1">
        <f t="shared" si="1"/>
        <v>770</v>
      </c>
      <c r="I17" s="1">
        <f t="shared" si="2"/>
        <v>840</v>
      </c>
      <c r="J17" s="1">
        <f t="shared" si="3"/>
        <v>172</v>
      </c>
      <c r="K17" s="1">
        <f t="shared" si="4"/>
        <v>376</v>
      </c>
      <c r="L17" s="1">
        <f t="shared" si="5"/>
        <v>6.3689999999999998</v>
      </c>
      <c r="M17" s="1">
        <f t="shared" si="8"/>
        <v>4.556</v>
      </c>
      <c r="N17" s="2">
        <f t="shared" si="6"/>
        <v>10910.453663999999</v>
      </c>
      <c r="O17" s="1" t="str">
        <f t="shared" si="7"/>
        <v>4C en L 5.2 Litros</v>
      </c>
      <c r="P17" s="13" t="str">
        <f t="shared" si="9"/>
        <v>Disco/Tambor - Booster Hidráulico - R19.5</v>
      </c>
    </row>
    <row r="18" spans="2:16" ht="16.5" customHeight="1" x14ac:dyDescent="0.25">
      <c r="B18" s="25" t="s">
        <v>21</v>
      </c>
      <c r="C18" s="26">
        <v>200</v>
      </c>
      <c r="D18" s="26">
        <v>4.5</v>
      </c>
      <c r="E18" s="26">
        <v>5</v>
      </c>
      <c r="F18" s="26">
        <v>5.5</v>
      </c>
      <c r="G18" s="26">
        <f t="shared" si="0"/>
        <v>900</v>
      </c>
      <c r="H18" s="26">
        <f t="shared" si="1"/>
        <v>1000</v>
      </c>
      <c r="I18" s="26">
        <f t="shared" si="2"/>
        <v>1100</v>
      </c>
      <c r="J18" s="26">
        <v>237</v>
      </c>
      <c r="K18" s="26">
        <v>520</v>
      </c>
      <c r="L18" s="26">
        <v>6.6150000000000002</v>
      </c>
      <c r="M18" s="26">
        <v>4.0999999999999996</v>
      </c>
      <c r="N18" s="32">
        <f t="shared" si="6"/>
        <v>14103.18</v>
      </c>
      <c r="O18" s="26" t="s">
        <v>60</v>
      </c>
      <c r="P18" s="27" t="s">
        <v>66</v>
      </c>
    </row>
    <row r="19" spans="2:16" ht="16.5" customHeight="1" x14ac:dyDescent="0.25">
      <c r="B19" s="3" t="s">
        <v>22</v>
      </c>
      <c r="C19" s="1">
        <v>200</v>
      </c>
      <c r="D19" s="1">
        <f>$D$18</f>
        <v>4.5</v>
      </c>
      <c r="E19" s="1">
        <f>$E$18</f>
        <v>5</v>
      </c>
      <c r="F19" s="1">
        <f>$F$18</f>
        <v>5.5</v>
      </c>
      <c r="G19" s="1">
        <f t="shared" si="0"/>
        <v>900</v>
      </c>
      <c r="H19" s="1">
        <f t="shared" si="1"/>
        <v>1000</v>
      </c>
      <c r="I19" s="1">
        <f t="shared" si="2"/>
        <v>1100</v>
      </c>
      <c r="J19" s="1">
        <f>$J$18</f>
        <v>237</v>
      </c>
      <c r="K19" s="1">
        <f>$K$18</f>
        <v>520</v>
      </c>
      <c r="L19" s="1">
        <f>$L$18</f>
        <v>6.6150000000000002</v>
      </c>
      <c r="M19" s="1">
        <f>$M$18</f>
        <v>4.0999999999999996</v>
      </c>
      <c r="N19" s="2">
        <f t="shared" si="6"/>
        <v>14103.18</v>
      </c>
      <c r="O19" s="1" t="str">
        <f>$O$18</f>
        <v>6C en L 7.8 Litros</v>
      </c>
      <c r="P19" s="13" t="str">
        <f>$P$18</f>
        <v>Tambor/Tambor - Aire Sobre Hidráulico - R19.5</v>
      </c>
    </row>
    <row r="20" spans="2:16" ht="16.5" customHeight="1" x14ac:dyDescent="0.25">
      <c r="B20" s="25" t="s">
        <v>16</v>
      </c>
      <c r="C20" s="26">
        <v>200</v>
      </c>
      <c r="D20" s="26">
        <v>4</v>
      </c>
      <c r="E20" s="26">
        <v>4.5</v>
      </c>
      <c r="F20" s="26">
        <v>5</v>
      </c>
      <c r="G20" s="26">
        <f t="shared" si="0"/>
        <v>800</v>
      </c>
      <c r="H20" s="26">
        <f t="shared" si="1"/>
        <v>900</v>
      </c>
      <c r="I20" s="26">
        <f t="shared" si="2"/>
        <v>1000</v>
      </c>
      <c r="J20" s="26">
        <f>$J$18</f>
        <v>237</v>
      </c>
      <c r="K20" s="26">
        <f>$K$18</f>
        <v>520</v>
      </c>
      <c r="L20" s="26">
        <f>$L$18</f>
        <v>6.6150000000000002</v>
      </c>
      <c r="M20" s="26">
        <v>6.1429999999999998</v>
      </c>
      <c r="N20" s="32">
        <f t="shared" si="6"/>
        <v>21130.6914</v>
      </c>
      <c r="O20" s="26" t="str">
        <f>$O$18</f>
        <v>6C en L 7.8 Litros</v>
      </c>
      <c r="P20" s="27" t="s">
        <v>67</v>
      </c>
    </row>
    <row r="21" spans="2:16" ht="16.5" customHeight="1" x14ac:dyDescent="0.25">
      <c r="B21" s="3" t="s">
        <v>17</v>
      </c>
      <c r="C21" s="1">
        <v>200</v>
      </c>
      <c r="D21" s="1">
        <f>$D$20</f>
        <v>4</v>
      </c>
      <c r="E21" s="1">
        <f>$E$20</f>
        <v>4.5</v>
      </c>
      <c r="F21" s="1">
        <f>$F$20</f>
        <v>5</v>
      </c>
      <c r="G21" s="1">
        <f t="shared" si="0"/>
        <v>800</v>
      </c>
      <c r="H21" s="1">
        <f t="shared" si="1"/>
        <v>900</v>
      </c>
      <c r="I21" s="1">
        <f t="shared" si="2"/>
        <v>1000</v>
      </c>
      <c r="J21" s="1">
        <f>$J$18</f>
        <v>237</v>
      </c>
      <c r="K21" s="1">
        <f>$K$18</f>
        <v>520</v>
      </c>
      <c r="L21" s="1">
        <f>$L$18</f>
        <v>6.6150000000000002</v>
      </c>
      <c r="M21" s="1">
        <f>$M$20</f>
        <v>6.1429999999999998</v>
      </c>
      <c r="N21" s="2">
        <f t="shared" si="6"/>
        <v>21130.6914</v>
      </c>
      <c r="O21" s="1" t="str">
        <f>$O$18</f>
        <v>6C en L 7.8 Litros</v>
      </c>
      <c r="P21" s="13" t="str">
        <f>$P$20</f>
        <v>Tambor/Tambor - Frenos de Aire - R22.5</v>
      </c>
    </row>
    <row r="22" spans="2:16" ht="16.5" customHeight="1" x14ac:dyDescent="0.25">
      <c r="B22" s="25" t="s">
        <v>23</v>
      </c>
      <c r="C22" s="26">
        <v>200</v>
      </c>
      <c r="D22" s="26">
        <v>4</v>
      </c>
      <c r="E22" s="26">
        <v>4.5</v>
      </c>
      <c r="F22" s="26">
        <v>5</v>
      </c>
      <c r="G22" s="26">
        <f t="shared" si="0"/>
        <v>800</v>
      </c>
      <c r="H22" s="26">
        <f t="shared" si="1"/>
        <v>900</v>
      </c>
      <c r="I22" s="26">
        <f t="shared" si="2"/>
        <v>1000</v>
      </c>
      <c r="J22" s="26">
        <f>$J$18</f>
        <v>237</v>
      </c>
      <c r="K22" s="26">
        <f>$K$18</f>
        <v>520</v>
      </c>
      <c r="L22" s="26">
        <v>9.4789999999999992</v>
      </c>
      <c r="M22" s="26">
        <v>6.4290000000000003</v>
      </c>
      <c r="N22" s="32">
        <f>$K22*$L22*$M22</f>
        <v>31689.055319999999</v>
      </c>
      <c r="O22" s="26" t="str">
        <f>$O$18</f>
        <v>6C en L 7.8 Litros</v>
      </c>
      <c r="P22" s="27" t="str">
        <f>$P$20</f>
        <v>Tambor/Tambor - Frenos de Aire - R22.5</v>
      </c>
    </row>
    <row r="23" spans="2:16" ht="16.5" customHeight="1" thickBot="1" x14ac:dyDescent="0.3">
      <c r="B23" s="8" t="s">
        <v>18</v>
      </c>
      <c r="C23" s="10">
        <v>400</v>
      </c>
      <c r="D23" s="10">
        <f>$D$22</f>
        <v>4</v>
      </c>
      <c r="E23" s="10">
        <f>$E$22</f>
        <v>4.5</v>
      </c>
      <c r="F23" s="10">
        <f>$F$22</f>
        <v>5</v>
      </c>
      <c r="G23" s="10">
        <f>$C23*$D23</f>
        <v>1600</v>
      </c>
      <c r="H23" s="10">
        <f>$C23*$E23</f>
        <v>1800</v>
      </c>
      <c r="I23" s="10">
        <f>$C23*$F23</f>
        <v>2000</v>
      </c>
      <c r="J23" s="10">
        <f>$J$18</f>
        <v>237</v>
      </c>
      <c r="K23" s="10">
        <f>$K$18</f>
        <v>520</v>
      </c>
      <c r="L23" s="10">
        <f>$L$22</f>
        <v>9.4789999999999992</v>
      </c>
      <c r="M23" s="10">
        <f>$M$22</f>
        <v>6.4290000000000003</v>
      </c>
      <c r="N23" s="9">
        <f>$K23*$L23*$M23</f>
        <v>31689.055319999999</v>
      </c>
      <c r="O23" s="10" t="str">
        <f>$O$18</f>
        <v>6C en L 7.8 Litros</v>
      </c>
      <c r="P23" s="11" t="str">
        <f>$P$20</f>
        <v>Tambor/Tambor - Frenos de Aire - R22.5</v>
      </c>
    </row>
    <row r="24" spans="2:16" ht="16.5" customHeight="1" thickTop="1" x14ac:dyDescent="0.25"/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4E382-3FB1-4CEF-B4A4-54456FA25DB0}">
  <dimension ref="B1:L45"/>
  <sheetViews>
    <sheetView workbookViewId="0">
      <selection activeCell="J3" sqref="J3"/>
    </sheetView>
  </sheetViews>
  <sheetFormatPr baseColWidth="10" defaultRowHeight="15" x14ac:dyDescent="0.25"/>
  <cols>
    <col min="1" max="1" width="1.42578125" customWidth="1"/>
    <col min="2" max="2" width="12.85546875" customWidth="1"/>
  </cols>
  <sheetData>
    <row r="1" spans="2:12" ht="7.5" customHeight="1" x14ac:dyDescent="0.25"/>
    <row r="2" spans="2:12" ht="45" x14ac:dyDescent="0.25">
      <c r="B2" s="30" t="s">
        <v>3</v>
      </c>
      <c r="C2" s="30" t="s">
        <v>69</v>
      </c>
      <c r="D2" s="30" t="s">
        <v>102</v>
      </c>
      <c r="E2" s="30" t="s">
        <v>103</v>
      </c>
      <c r="F2" s="30" t="s">
        <v>104</v>
      </c>
      <c r="G2" s="1" t="s">
        <v>29</v>
      </c>
      <c r="H2" s="1"/>
      <c r="I2" s="1" t="s">
        <v>30</v>
      </c>
      <c r="J2" s="1"/>
      <c r="K2" s="30" t="s">
        <v>70</v>
      </c>
      <c r="L2" s="1"/>
    </row>
    <row r="3" spans="2:12" x14ac:dyDescent="0.25">
      <c r="B3" s="30" t="s">
        <v>4</v>
      </c>
      <c r="C3" s="30">
        <v>2.4750000000000001</v>
      </c>
      <c r="D3" s="1">
        <v>1.5529999999999999</v>
      </c>
      <c r="E3" s="1">
        <v>1.1100000000000001</v>
      </c>
      <c r="F3" s="1">
        <f>$D3-$E3</f>
        <v>0.44299999999999984</v>
      </c>
      <c r="G3" s="1">
        <v>0.221</v>
      </c>
      <c r="H3" s="1">
        <f>$G3+$F3</f>
        <v>0.66399999999999981</v>
      </c>
      <c r="I3" s="1">
        <v>3.1669999999999998</v>
      </c>
      <c r="J3" s="1"/>
      <c r="K3" s="1">
        <f>$C3*0.3333</f>
        <v>0.82491749999999997</v>
      </c>
      <c r="L3" s="1"/>
    </row>
    <row r="4" spans="2:12" x14ac:dyDescent="0.25">
      <c r="B4" s="30" t="s">
        <v>71</v>
      </c>
      <c r="C4" s="30">
        <v>2.4750000000000001</v>
      </c>
      <c r="D4" s="1">
        <v>1.5629999999999999</v>
      </c>
      <c r="E4" s="1"/>
      <c r="F4" s="1">
        <f>$D4-$E4</f>
        <v>1.5629999999999999</v>
      </c>
      <c r="G4" s="1">
        <v>0.111</v>
      </c>
      <c r="H4" s="1">
        <f>$G4+$F4</f>
        <v>1.6739999999999999</v>
      </c>
      <c r="I4" s="1"/>
      <c r="J4" s="1"/>
      <c r="K4" s="1">
        <f>$C4*0.3333</f>
        <v>0.82491749999999997</v>
      </c>
      <c r="L4" s="1"/>
    </row>
    <row r="5" spans="2:12" x14ac:dyDescent="0.25">
      <c r="B5" s="30" t="s">
        <v>5</v>
      </c>
      <c r="C5" s="30">
        <v>2.4900000000000002</v>
      </c>
      <c r="D5" s="1"/>
      <c r="E5" s="1"/>
      <c r="F5" s="1">
        <f>$D5-$E5</f>
        <v>0</v>
      </c>
      <c r="G5" s="1"/>
      <c r="H5" s="1">
        <f>$G5+$F5</f>
        <v>0</v>
      </c>
      <c r="I5" s="1"/>
      <c r="J5" s="1"/>
      <c r="K5" s="1">
        <f>$C5*0.3333</f>
        <v>0.82991700000000002</v>
      </c>
      <c r="L5" s="1"/>
    </row>
    <row r="6" spans="2:12" x14ac:dyDescent="0.25">
      <c r="B6" s="30" t="s">
        <v>72</v>
      </c>
      <c r="C6" s="30">
        <v>2.4700000000000002</v>
      </c>
      <c r="D6" s="1"/>
      <c r="E6" s="1"/>
      <c r="F6" s="1">
        <f>$D6-$E6</f>
        <v>0</v>
      </c>
      <c r="G6" s="1">
        <v>0.111</v>
      </c>
      <c r="H6" s="1">
        <f t="shared" ref="H6:H45" si="0">$G6+$F6</f>
        <v>0.111</v>
      </c>
      <c r="I6" s="1"/>
      <c r="J6" s="1"/>
      <c r="K6" s="1">
        <f t="shared" ref="K6:K45" si="1">$C6*0.3333</f>
        <v>0.82325100000000007</v>
      </c>
      <c r="L6" s="1"/>
    </row>
    <row r="7" spans="2:12" x14ac:dyDescent="0.25">
      <c r="B7" s="30" t="s">
        <v>6</v>
      </c>
      <c r="C7" s="30">
        <v>2.4700000000000002</v>
      </c>
      <c r="D7" s="1"/>
      <c r="E7" s="1"/>
      <c r="F7" s="1">
        <f t="shared" ref="F7:F45" si="2">$D7-$E7</f>
        <v>0</v>
      </c>
      <c r="G7" s="1"/>
      <c r="H7" s="1">
        <f t="shared" si="0"/>
        <v>0</v>
      </c>
      <c r="I7" s="1"/>
      <c r="J7" s="1"/>
      <c r="K7" s="1">
        <f t="shared" si="1"/>
        <v>0.82325100000000007</v>
      </c>
      <c r="L7" s="1"/>
    </row>
    <row r="8" spans="2:12" x14ac:dyDescent="0.25">
      <c r="B8" s="30" t="s">
        <v>73</v>
      </c>
      <c r="C8" s="30">
        <v>2.4700000000000002</v>
      </c>
      <c r="D8" s="1"/>
      <c r="E8" s="1"/>
      <c r="F8" s="1">
        <f t="shared" si="2"/>
        <v>0</v>
      </c>
      <c r="G8" s="1">
        <v>0.111</v>
      </c>
      <c r="H8" s="1">
        <f t="shared" si="0"/>
        <v>0.111</v>
      </c>
      <c r="I8" s="1"/>
      <c r="J8" s="1"/>
      <c r="K8" s="1">
        <f t="shared" si="1"/>
        <v>0.82325100000000007</v>
      </c>
      <c r="L8" s="1"/>
    </row>
    <row r="9" spans="2:12" x14ac:dyDescent="0.25">
      <c r="B9" s="30" t="s">
        <v>7</v>
      </c>
      <c r="C9" s="30">
        <v>3.34</v>
      </c>
      <c r="D9" s="1"/>
      <c r="E9" s="1"/>
      <c r="F9" s="1">
        <f t="shared" si="2"/>
        <v>0</v>
      </c>
      <c r="G9" s="1"/>
      <c r="H9" s="1">
        <f t="shared" si="0"/>
        <v>0</v>
      </c>
      <c r="I9" s="1"/>
      <c r="J9" s="1"/>
      <c r="K9" s="1">
        <f t="shared" si="1"/>
        <v>1.1132219999999999</v>
      </c>
      <c r="L9" s="1"/>
    </row>
    <row r="10" spans="2:12" x14ac:dyDescent="0.25">
      <c r="B10" s="30" t="s">
        <v>74</v>
      </c>
      <c r="C10" s="30">
        <v>3.34</v>
      </c>
      <c r="D10" s="1"/>
      <c r="E10" s="1"/>
      <c r="F10" s="1">
        <f t="shared" si="2"/>
        <v>0</v>
      </c>
      <c r="G10" s="1">
        <v>0.111</v>
      </c>
      <c r="H10" s="1">
        <f t="shared" si="0"/>
        <v>0.111</v>
      </c>
      <c r="I10" s="1"/>
      <c r="J10" s="1"/>
      <c r="K10" s="1">
        <f t="shared" si="1"/>
        <v>1.1132219999999999</v>
      </c>
      <c r="L10" s="1"/>
    </row>
    <row r="11" spans="2:12" x14ac:dyDescent="0.25">
      <c r="B11" s="30" t="s">
        <v>75</v>
      </c>
      <c r="C11" s="30">
        <v>2.76</v>
      </c>
      <c r="D11" s="1"/>
      <c r="E11" s="1"/>
      <c r="F11" s="1">
        <f t="shared" si="2"/>
        <v>0</v>
      </c>
      <c r="G11" s="1">
        <v>0.111</v>
      </c>
      <c r="H11" s="1">
        <f t="shared" si="0"/>
        <v>0.111</v>
      </c>
      <c r="I11" s="1"/>
      <c r="J11" s="1"/>
      <c r="K11" s="1">
        <f t="shared" si="1"/>
        <v>0.91990799999999984</v>
      </c>
      <c r="L11" s="1"/>
    </row>
    <row r="12" spans="2:12" x14ac:dyDescent="0.25">
      <c r="B12" s="30" t="s">
        <v>76</v>
      </c>
      <c r="C12" s="30">
        <v>3.36</v>
      </c>
      <c r="D12" s="1"/>
      <c r="E12" s="1"/>
      <c r="F12" s="1">
        <f t="shared" si="2"/>
        <v>0</v>
      </c>
      <c r="G12" s="1">
        <v>0.111</v>
      </c>
      <c r="H12" s="1">
        <f t="shared" si="0"/>
        <v>0.111</v>
      </c>
      <c r="I12" s="1"/>
      <c r="J12" s="1"/>
      <c r="K12" s="1">
        <f t="shared" si="1"/>
        <v>1.119888</v>
      </c>
      <c r="L12" s="1"/>
    </row>
    <row r="13" spans="2:12" x14ac:dyDescent="0.25">
      <c r="B13" s="30" t="s">
        <v>77</v>
      </c>
      <c r="C13" s="30">
        <v>3.81</v>
      </c>
      <c r="D13" s="1"/>
      <c r="E13" s="1"/>
      <c r="F13" s="1">
        <f t="shared" si="2"/>
        <v>0</v>
      </c>
      <c r="G13" s="1">
        <v>0.111</v>
      </c>
      <c r="H13" s="1">
        <f t="shared" si="0"/>
        <v>0.111</v>
      </c>
      <c r="I13" s="1"/>
      <c r="J13" s="1"/>
      <c r="K13" s="1">
        <f t="shared" si="1"/>
        <v>1.269873</v>
      </c>
      <c r="L13" s="1"/>
    </row>
    <row r="14" spans="2:12" x14ac:dyDescent="0.25">
      <c r="B14" s="30" t="s">
        <v>19</v>
      </c>
      <c r="C14" s="30">
        <v>2.76</v>
      </c>
      <c r="D14" s="1"/>
      <c r="E14" s="1"/>
      <c r="F14" s="1">
        <f t="shared" si="2"/>
        <v>0</v>
      </c>
      <c r="G14" s="1"/>
      <c r="H14" s="1">
        <f t="shared" si="0"/>
        <v>0</v>
      </c>
      <c r="I14" s="1"/>
      <c r="J14" s="1"/>
      <c r="K14" s="1">
        <f t="shared" si="1"/>
        <v>0.91990799999999984</v>
      </c>
      <c r="L14" s="1"/>
    </row>
    <row r="15" spans="2:12" x14ac:dyDescent="0.25">
      <c r="B15" s="30" t="s">
        <v>78</v>
      </c>
      <c r="C15" s="30">
        <v>2.76</v>
      </c>
      <c r="D15" s="1"/>
      <c r="E15" s="1"/>
      <c r="F15" s="1">
        <f t="shared" si="2"/>
        <v>0</v>
      </c>
      <c r="G15" s="1">
        <v>0.111</v>
      </c>
      <c r="H15" s="1">
        <f t="shared" si="0"/>
        <v>0.111</v>
      </c>
      <c r="I15" s="1"/>
      <c r="J15" s="1"/>
      <c r="K15" s="1">
        <f t="shared" si="1"/>
        <v>0.91990799999999984</v>
      </c>
      <c r="L15" s="1"/>
    </row>
    <row r="16" spans="2:12" x14ac:dyDescent="0.25">
      <c r="B16" s="30" t="s">
        <v>8</v>
      </c>
      <c r="C16" s="30">
        <v>3.36</v>
      </c>
      <c r="D16" s="1"/>
      <c r="E16" s="1"/>
      <c r="F16" s="1">
        <f t="shared" si="2"/>
        <v>0</v>
      </c>
      <c r="G16" s="1"/>
      <c r="H16" s="1">
        <f t="shared" si="0"/>
        <v>0</v>
      </c>
      <c r="I16" s="1"/>
      <c r="J16" s="1"/>
      <c r="K16" s="1">
        <f t="shared" si="1"/>
        <v>1.119888</v>
      </c>
      <c r="L16" s="1"/>
    </row>
    <row r="17" spans="2:12" x14ac:dyDescent="0.25">
      <c r="B17" s="30" t="s">
        <v>79</v>
      </c>
      <c r="C17" s="30">
        <v>3.36</v>
      </c>
      <c r="D17" s="1"/>
      <c r="E17" s="1"/>
      <c r="F17" s="1">
        <f t="shared" si="2"/>
        <v>0</v>
      </c>
      <c r="G17" s="1">
        <v>0.111</v>
      </c>
      <c r="H17" s="1">
        <f t="shared" si="0"/>
        <v>0.111</v>
      </c>
      <c r="I17" s="1"/>
      <c r="J17" s="1"/>
      <c r="K17" s="1">
        <f t="shared" si="1"/>
        <v>1.119888</v>
      </c>
      <c r="L17" s="1"/>
    </row>
    <row r="18" spans="2:12" x14ac:dyDescent="0.25">
      <c r="B18" s="30" t="s">
        <v>9</v>
      </c>
      <c r="C18" s="30">
        <v>3.8</v>
      </c>
      <c r="D18" s="1"/>
      <c r="E18" s="1"/>
      <c r="F18" s="1">
        <f t="shared" si="2"/>
        <v>0</v>
      </c>
      <c r="G18" s="1"/>
      <c r="H18" s="1">
        <f t="shared" si="0"/>
        <v>0</v>
      </c>
      <c r="I18" s="1"/>
      <c r="J18" s="1"/>
      <c r="K18" s="1">
        <f t="shared" si="1"/>
        <v>1.2665399999999998</v>
      </c>
      <c r="L18" s="1"/>
    </row>
    <row r="19" spans="2:12" x14ac:dyDescent="0.25">
      <c r="B19" s="30" t="s">
        <v>80</v>
      </c>
      <c r="C19" s="30">
        <v>3.8</v>
      </c>
      <c r="D19" s="1"/>
      <c r="E19" s="1"/>
      <c r="F19" s="1">
        <f t="shared" si="2"/>
        <v>0</v>
      </c>
      <c r="G19" s="1">
        <v>0.111</v>
      </c>
      <c r="H19" s="1">
        <f t="shared" si="0"/>
        <v>0.111</v>
      </c>
      <c r="I19" s="1"/>
      <c r="J19" s="1"/>
      <c r="K19" s="1">
        <f t="shared" si="1"/>
        <v>1.2665399999999998</v>
      </c>
      <c r="L19" s="1"/>
    </row>
    <row r="20" spans="2:12" x14ac:dyDescent="0.25">
      <c r="B20" s="30" t="s">
        <v>20</v>
      </c>
      <c r="C20" s="30">
        <v>2.76</v>
      </c>
      <c r="D20" s="1"/>
      <c r="E20" s="1"/>
      <c r="F20" s="1">
        <f t="shared" si="2"/>
        <v>0</v>
      </c>
      <c r="G20" s="1"/>
      <c r="H20" s="1">
        <f t="shared" si="0"/>
        <v>0</v>
      </c>
      <c r="I20" s="1"/>
      <c r="J20" s="1"/>
      <c r="K20" s="1">
        <f t="shared" si="1"/>
        <v>0.91990799999999984</v>
      </c>
      <c r="L20" s="1"/>
    </row>
    <row r="21" spans="2:12" x14ac:dyDescent="0.25">
      <c r="B21" s="30" t="s">
        <v>81</v>
      </c>
      <c r="C21" s="30">
        <v>2.76</v>
      </c>
      <c r="D21" s="1"/>
      <c r="E21" s="1"/>
      <c r="F21" s="1">
        <f t="shared" si="2"/>
        <v>0</v>
      </c>
      <c r="G21" s="1">
        <v>0.111</v>
      </c>
      <c r="H21" s="1">
        <f t="shared" si="0"/>
        <v>0.111</v>
      </c>
      <c r="I21" s="1"/>
      <c r="J21" s="1"/>
      <c r="K21" s="1">
        <f t="shared" si="1"/>
        <v>0.91990799999999984</v>
      </c>
      <c r="L21" s="1"/>
    </row>
    <row r="22" spans="2:12" x14ac:dyDescent="0.25">
      <c r="B22" s="30" t="s">
        <v>11</v>
      </c>
      <c r="C22" s="30">
        <v>3.36</v>
      </c>
      <c r="D22" s="1"/>
      <c r="E22" s="1"/>
      <c r="F22" s="1">
        <f t="shared" si="2"/>
        <v>0</v>
      </c>
      <c r="G22" s="1"/>
      <c r="H22" s="1">
        <f t="shared" si="0"/>
        <v>0</v>
      </c>
      <c r="I22" s="1"/>
      <c r="J22" s="1"/>
      <c r="K22" s="1">
        <f t="shared" si="1"/>
        <v>1.119888</v>
      </c>
      <c r="L22" s="1"/>
    </row>
    <row r="23" spans="2:12" x14ac:dyDescent="0.25">
      <c r="B23" s="30" t="s">
        <v>82</v>
      </c>
      <c r="C23" s="30">
        <v>3.36</v>
      </c>
      <c r="D23" s="1"/>
      <c r="E23" s="1"/>
      <c r="F23" s="1">
        <f t="shared" si="2"/>
        <v>0</v>
      </c>
      <c r="G23" s="1">
        <v>0.111</v>
      </c>
      <c r="H23" s="1">
        <f t="shared" si="0"/>
        <v>0.111</v>
      </c>
      <c r="I23" s="1"/>
      <c r="J23" s="1"/>
      <c r="K23" s="1">
        <f t="shared" si="1"/>
        <v>1.119888</v>
      </c>
      <c r="L23" s="1"/>
    </row>
    <row r="24" spans="2:12" x14ac:dyDescent="0.25">
      <c r="B24" s="30" t="s">
        <v>10</v>
      </c>
      <c r="C24" s="30">
        <v>3.8</v>
      </c>
      <c r="D24" s="1"/>
      <c r="E24" s="1"/>
      <c r="F24" s="1">
        <f t="shared" si="2"/>
        <v>0</v>
      </c>
      <c r="G24" s="1"/>
      <c r="H24" s="1">
        <f t="shared" si="0"/>
        <v>0</v>
      </c>
      <c r="I24" s="1"/>
      <c r="J24" s="1"/>
      <c r="K24" s="1">
        <f t="shared" si="1"/>
        <v>1.2665399999999998</v>
      </c>
      <c r="L24" s="1"/>
    </row>
    <row r="25" spans="2:12" x14ac:dyDescent="0.25">
      <c r="B25" s="30" t="s">
        <v>83</v>
      </c>
      <c r="C25" s="30">
        <v>3.8</v>
      </c>
      <c r="D25" s="1"/>
      <c r="E25" s="1"/>
      <c r="F25" s="1">
        <f t="shared" si="2"/>
        <v>0</v>
      </c>
      <c r="G25" s="1">
        <v>0.111</v>
      </c>
      <c r="H25" s="1">
        <f t="shared" si="0"/>
        <v>0.111</v>
      </c>
      <c r="I25" s="1"/>
      <c r="J25" s="1"/>
      <c r="K25" s="1">
        <f t="shared" si="1"/>
        <v>1.2665399999999998</v>
      </c>
      <c r="L25" s="1"/>
    </row>
    <row r="26" spans="2:12" ht="30" x14ac:dyDescent="0.25">
      <c r="B26" s="30" t="s">
        <v>84</v>
      </c>
      <c r="C26" s="30">
        <v>4.47</v>
      </c>
      <c r="D26" s="1"/>
      <c r="E26" s="1"/>
      <c r="F26" s="1">
        <f t="shared" si="2"/>
        <v>0</v>
      </c>
      <c r="G26" s="1"/>
      <c r="H26" s="1">
        <f t="shared" si="0"/>
        <v>0</v>
      </c>
      <c r="I26" s="1"/>
      <c r="J26" s="1"/>
      <c r="K26" s="1">
        <f t="shared" si="1"/>
        <v>1.4898509999999998</v>
      </c>
      <c r="L26" s="1"/>
    </row>
    <row r="27" spans="2:12" ht="30" x14ac:dyDescent="0.25">
      <c r="B27" s="30" t="s">
        <v>85</v>
      </c>
      <c r="C27" s="30">
        <v>4.47</v>
      </c>
      <c r="D27" s="1"/>
      <c r="E27" s="1"/>
      <c r="F27" s="1">
        <f t="shared" si="2"/>
        <v>0</v>
      </c>
      <c r="G27" s="1">
        <v>0.111</v>
      </c>
      <c r="H27" s="1">
        <f t="shared" si="0"/>
        <v>0.111</v>
      </c>
      <c r="I27" s="1"/>
      <c r="J27" s="1"/>
      <c r="K27" s="1">
        <f t="shared" si="1"/>
        <v>1.4898509999999998</v>
      </c>
      <c r="L27" s="1"/>
    </row>
    <row r="28" spans="2:12" x14ac:dyDescent="0.25">
      <c r="B28" s="30" t="s">
        <v>14</v>
      </c>
      <c r="C28" s="30">
        <v>3.36</v>
      </c>
      <c r="D28" s="1"/>
      <c r="E28" s="1"/>
      <c r="F28" s="1">
        <f t="shared" si="2"/>
        <v>0</v>
      </c>
      <c r="G28" s="1"/>
      <c r="H28" s="1">
        <f t="shared" si="0"/>
        <v>0</v>
      </c>
      <c r="I28" s="1"/>
      <c r="J28" s="1"/>
      <c r="K28" s="1">
        <f t="shared" si="1"/>
        <v>1.119888</v>
      </c>
      <c r="L28" s="1"/>
    </row>
    <row r="29" spans="2:12" x14ac:dyDescent="0.25">
      <c r="B29" s="30" t="s">
        <v>86</v>
      </c>
      <c r="C29" s="30">
        <v>3.36</v>
      </c>
      <c r="D29" s="1"/>
      <c r="E29" s="1"/>
      <c r="F29" s="1">
        <f t="shared" si="2"/>
        <v>0</v>
      </c>
      <c r="G29" s="1">
        <v>0.111</v>
      </c>
      <c r="H29" s="1">
        <f t="shared" si="0"/>
        <v>0.111</v>
      </c>
      <c r="I29" s="1"/>
      <c r="J29" s="1"/>
      <c r="K29" s="1">
        <f t="shared" si="1"/>
        <v>1.119888</v>
      </c>
      <c r="L29" s="1"/>
    </row>
    <row r="30" spans="2:12" x14ac:dyDescent="0.25">
      <c r="B30" s="30" t="s">
        <v>13</v>
      </c>
      <c r="C30" s="30">
        <v>3.8</v>
      </c>
      <c r="D30" s="1"/>
      <c r="E30" s="1"/>
      <c r="F30" s="1">
        <f t="shared" si="2"/>
        <v>0</v>
      </c>
      <c r="G30" s="1"/>
      <c r="H30" s="1">
        <f t="shared" si="0"/>
        <v>0</v>
      </c>
      <c r="I30" s="1"/>
      <c r="J30" s="1"/>
      <c r="K30" s="1">
        <f t="shared" si="1"/>
        <v>1.2665399999999998</v>
      </c>
      <c r="L30" s="1"/>
    </row>
    <row r="31" spans="2:12" x14ac:dyDescent="0.25">
      <c r="B31" s="30" t="s">
        <v>87</v>
      </c>
      <c r="C31" s="30">
        <v>3.8</v>
      </c>
      <c r="D31" s="1"/>
      <c r="E31" s="1"/>
      <c r="F31" s="1">
        <f t="shared" si="2"/>
        <v>0</v>
      </c>
      <c r="G31" s="1">
        <v>0.111</v>
      </c>
      <c r="H31" s="1">
        <f t="shared" si="0"/>
        <v>0.111</v>
      </c>
      <c r="I31" s="1"/>
      <c r="J31" s="1"/>
      <c r="K31" s="1">
        <f t="shared" si="1"/>
        <v>1.2665399999999998</v>
      </c>
      <c r="L31" s="1"/>
    </row>
    <row r="32" spans="2:12" ht="30" x14ac:dyDescent="0.25">
      <c r="B32" s="30" t="s">
        <v>88</v>
      </c>
      <c r="C32" s="30">
        <v>4.47</v>
      </c>
      <c r="D32" s="1"/>
      <c r="E32" s="1"/>
      <c r="F32" s="1">
        <f t="shared" si="2"/>
        <v>0</v>
      </c>
      <c r="G32" s="1"/>
      <c r="H32" s="1">
        <f t="shared" si="0"/>
        <v>0</v>
      </c>
      <c r="I32" s="1"/>
      <c r="J32" s="1"/>
      <c r="K32" s="1">
        <f t="shared" si="1"/>
        <v>1.4898509999999998</v>
      </c>
      <c r="L32" s="1"/>
    </row>
    <row r="33" spans="2:12" ht="30" x14ac:dyDescent="0.25">
      <c r="B33" s="30" t="s">
        <v>89</v>
      </c>
      <c r="C33" s="30">
        <v>4.47</v>
      </c>
      <c r="D33" s="1"/>
      <c r="E33" s="1"/>
      <c r="F33" s="1">
        <f t="shared" si="2"/>
        <v>0</v>
      </c>
      <c r="G33" s="1">
        <v>0.111</v>
      </c>
      <c r="H33" s="1">
        <f t="shared" si="0"/>
        <v>0.111</v>
      </c>
      <c r="I33" s="1"/>
      <c r="J33" s="1"/>
      <c r="K33" s="1">
        <f t="shared" si="1"/>
        <v>1.4898509999999998</v>
      </c>
      <c r="L33" s="1"/>
    </row>
    <row r="34" spans="2:12" ht="30" x14ac:dyDescent="0.25">
      <c r="B34" s="30" t="s">
        <v>90</v>
      </c>
      <c r="C34" s="30">
        <v>4.3600000000000003</v>
      </c>
      <c r="D34" s="1"/>
      <c r="E34" s="1"/>
      <c r="F34" s="1">
        <f t="shared" si="2"/>
        <v>0</v>
      </c>
      <c r="G34" s="1"/>
      <c r="H34" s="1">
        <f t="shared" si="0"/>
        <v>0</v>
      </c>
      <c r="I34" s="1"/>
      <c r="J34" s="1"/>
      <c r="K34" s="1">
        <f t="shared" si="1"/>
        <v>1.4531880000000001</v>
      </c>
      <c r="L34" s="1"/>
    </row>
    <row r="35" spans="2:12" ht="30" x14ac:dyDescent="0.25">
      <c r="B35" s="30" t="s">
        <v>91</v>
      </c>
      <c r="C35" s="30">
        <v>4.0599999999999996</v>
      </c>
      <c r="D35" s="1"/>
      <c r="E35" s="1"/>
      <c r="F35" s="1">
        <f t="shared" si="2"/>
        <v>0</v>
      </c>
      <c r="G35" s="1">
        <v>0.111</v>
      </c>
      <c r="H35" s="1">
        <f t="shared" si="0"/>
        <v>0.111</v>
      </c>
      <c r="I35" s="1"/>
      <c r="J35" s="1"/>
      <c r="K35" s="1">
        <f t="shared" si="1"/>
        <v>1.3531979999999999</v>
      </c>
      <c r="L35" s="1"/>
    </row>
    <row r="36" spans="2:12" ht="30" x14ac:dyDescent="0.25">
      <c r="B36" s="30" t="s">
        <v>92</v>
      </c>
      <c r="C36" s="30">
        <v>4.8600000000000003</v>
      </c>
      <c r="D36" s="1"/>
      <c r="E36" s="1"/>
      <c r="F36" s="1">
        <f t="shared" si="2"/>
        <v>0</v>
      </c>
      <c r="G36" s="1"/>
      <c r="H36" s="1">
        <f t="shared" si="0"/>
        <v>0</v>
      </c>
      <c r="I36" s="1"/>
      <c r="J36" s="1"/>
      <c r="K36" s="1">
        <f t="shared" si="1"/>
        <v>1.6198380000000001</v>
      </c>
      <c r="L36" s="1"/>
    </row>
    <row r="37" spans="2:12" ht="30" x14ac:dyDescent="0.25">
      <c r="B37" s="30" t="s">
        <v>93</v>
      </c>
      <c r="C37" s="30">
        <v>4.66</v>
      </c>
      <c r="D37" s="1"/>
      <c r="E37" s="1"/>
      <c r="F37" s="1">
        <f t="shared" si="2"/>
        <v>0</v>
      </c>
      <c r="G37" s="1">
        <v>0.111</v>
      </c>
      <c r="H37" s="1">
        <f t="shared" si="0"/>
        <v>0.111</v>
      </c>
      <c r="I37" s="1"/>
      <c r="J37" s="1"/>
      <c r="K37" s="1">
        <f t="shared" si="1"/>
        <v>1.5531779999999999</v>
      </c>
      <c r="L37" s="1"/>
    </row>
    <row r="38" spans="2:12" ht="30" x14ac:dyDescent="0.25">
      <c r="B38" s="30" t="s">
        <v>94</v>
      </c>
      <c r="C38" s="30">
        <v>4.25</v>
      </c>
      <c r="D38" s="1"/>
      <c r="E38" s="1"/>
      <c r="F38" s="1">
        <f t="shared" si="2"/>
        <v>0</v>
      </c>
      <c r="G38" s="1"/>
      <c r="H38" s="1">
        <f t="shared" si="0"/>
        <v>0</v>
      </c>
      <c r="I38" s="1"/>
      <c r="J38" s="1"/>
      <c r="K38" s="1">
        <f t="shared" si="1"/>
        <v>1.416525</v>
      </c>
      <c r="L38" s="1"/>
    </row>
    <row r="39" spans="2:12" ht="30" x14ac:dyDescent="0.25">
      <c r="B39" s="30" t="s">
        <v>95</v>
      </c>
      <c r="C39" s="30">
        <v>4.6500000000000004</v>
      </c>
      <c r="D39" s="1"/>
      <c r="E39" s="1"/>
      <c r="F39" s="1">
        <f t="shared" si="2"/>
        <v>0</v>
      </c>
      <c r="G39" s="1">
        <v>0.111</v>
      </c>
      <c r="H39" s="1">
        <f t="shared" si="0"/>
        <v>0.111</v>
      </c>
      <c r="I39" s="1"/>
      <c r="J39" s="1"/>
      <c r="K39" s="1">
        <f t="shared" si="1"/>
        <v>1.5498450000000001</v>
      </c>
      <c r="L39" s="1"/>
    </row>
    <row r="40" spans="2:12" ht="30" x14ac:dyDescent="0.25">
      <c r="B40" s="30" t="s">
        <v>96</v>
      </c>
      <c r="C40" s="30">
        <v>5.55</v>
      </c>
      <c r="D40" s="1"/>
      <c r="E40" s="1"/>
      <c r="F40" s="1">
        <f t="shared" si="2"/>
        <v>0</v>
      </c>
      <c r="G40" s="1"/>
      <c r="H40" s="1">
        <f t="shared" si="0"/>
        <v>0</v>
      </c>
      <c r="I40" s="1"/>
      <c r="J40" s="1"/>
      <c r="K40" s="1">
        <f t="shared" si="1"/>
        <v>1.8498149999999998</v>
      </c>
      <c r="L40" s="1"/>
    </row>
    <row r="41" spans="2:12" ht="30" x14ac:dyDescent="0.25">
      <c r="B41" s="30" t="s">
        <v>97</v>
      </c>
      <c r="C41" s="30">
        <v>5.55</v>
      </c>
      <c r="D41" s="1"/>
      <c r="E41" s="1"/>
      <c r="F41" s="1">
        <f t="shared" si="2"/>
        <v>0</v>
      </c>
      <c r="G41" s="1">
        <v>0.111</v>
      </c>
      <c r="H41" s="1">
        <f t="shared" si="0"/>
        <v>0.111</v>
      </c>
      <c r="I41" s="1"/>
      <c r="J41" s="1"/>
      <c r="K41" s="1">
        <f t="shared" si="1"/>
        <v>1.8498149999999998</v>
      </c>
      <c r="L41" s="1"/>
    </row>
    <row r="42" spans="2:12" ht="30" x14ac:dyDescent="0.25">
      <c r="B42" s="30" t="s">
        <v>98</v>
      </c>
      <c r="C42" s="30">
        <v>3.9</v>
      </c>
      <c r="D42" s="1"/>
      <c r="E42" s="1"/>
      <c r="F42" s="1">
        <f t="shared" si="2"/>
        <v>0</v>
      </c>
      <c r="G42" s="1"/>
      <c r="H42" s="1">
        <f t="shared" si="0"/>
        <v>0</v>
      </c>
      <c r="I42" s="1"/>
      <c r="J42" s="1"/>
      <c r="K42" s="1">
        <f t="shared" si="1"/>
        <v>1.2998699999999999</v>
      </c>
      <c r="L42" s="1"/>
    </row>
    <row r="43" spans="2:12" ht="30" x14ac:dyDescent="0.25">
      <c r="B43" s="30" t="s">
        <v>99</v>
      </c>
      <c r="C43" s="30">
        <v>4.6500000000000004</v>
      </c>
      <c r="D43" s="1"/>
      <c r="E43" s="1"/>
      <c r="F43" s="1">
        <f t="shared" si="2"/>
        <v>0</v>
      </c>
      <c r="G43" s="1">
        <v>0.111</v>
      </c>
      <c r="H43" s="1">
        <f t="shared" si="0"/>
        <v>0.111</v>
      </c>
      <c r="I43" s="1"/>
      <c r="J43" s="1"/>
      <c r="K43" s="1">
        <f t="shared" si="1"/>
        <v>1.5498450000000001</v>
      </c>
      <c r="L43" s="1"/>
    </row>
    <row r="44" spans="2:12" ht="30" x14ac:dyDescent="0.25">
      <c r="B44" s="30" t="s">
        <v>100</v>
      </c>
      <c r="C44" s="30">
        <v>5.55</v>
      </c>
      <c r="D44" s="1"/>
      <c r="E44" s="1"/>
      <c r="F44" s="1">
        <f t="shared" si="2"/>
        <v>0</v>
      </c>
      <c r="G44" s="1"/>
      <c r="H44" s="1">
        <f t="shared" si="0"/>
        <v>0</v>
      </c>
      <c r="I44" s="1"/>
      <c r="J44" s="1"/>
      <c r="K44" s="1">
        <f t="shared" si="1"/>
        <v>1.8498149999999998</v>
      </c>
      <c r="L44" s="1"/>
    </row>
    <row r="45" spans="2:12" ht="30" x14ac:dyDescent="0.25">
      <c r="B45" s="30" t="s">
        <v>101</v>
      </c>
      <c r="C45" s="30">
        <v>5.55</v>
      </c>
      <c r="D45" s="1"/>
      <c r="E45" s="1"/>
      <c r="F45" s="1">
        <f t="shared" si="2"/>
        <v>0</v>
      </c>
      <c r="G45" s="1">
        <v>0.111</v>
      </c>
      <c r="H45" s="1">
        <f t="shared" si="0"/>
        <v>0.111</v>
      </c>
      <c r="I45" s="1"/>
      <c r="J45" s="1"/>
      <c r="K45" s="1">
        <f t="shared" si="1"/>
        <v>1.8498149999999998</v>
      </c>
      <c r="L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Cubicaje y Peso</vt:lpstr>
      <vt:lpstr>Distribución de Carga</vt:lpstr>
      <vt:lpstr>Distancia y Consumo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Grupo Plasencia</cp:lastModifiedBy>
  <dcterms:created xsi:type="dcterms:W3CDTF">2022-02-04T05:08:15Z</dcterms:created>
  <dcterms:modified xsi:type="dcterms:W3CDTF">2026-03-09T20:02:30Z</dcterms:modified>
</cp:coreProperties>
</file>